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MT_2EM_S3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<sst xmlns="http://schemas.openxmlformats.org/spreadsheetml/2006/main" count="100" uniqueCount="60">
  <si>
    <t xml:space="preserve">Item</t>
  </si>
  <si>
    <t xml:space="preserve">Gabarito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</si>
  <si>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</si>
  <si>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</si>
  <si>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</si>
  <si>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</si>
  <si>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</si>
  <si>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Conhecido</t>
  </si>
  <si>
    <t xml:space="preserve">E</t>
  </si>
  <si>
    <t xml:space="preserve">D</t>
  </si>
  <si>
    <t xml:space="preserve">PROVA 3 ANO - ITEM 2</t>
  </si>
  <si>
    <t xml:space="preserve">C</t>
  </si>
  <si>
    <t xml:space="preserve">PROVA 3 ANO - ITEM 3</t>
  </si>
  <si>
    <t xml:space="preserve">AVF 2501 q06</t>
  </si>
  <si>
    <t xml:space="preserve">AVF 2501 q11</t>
  </si>
  <si>
    <t xml:space="preserve">AVF260122 q30</t>
  </si>
  <si>
    <t xml:space="preserve">A</t>
  </si>
  <si>
    <t xml:space="preserve">AVF260121 q35</t>
  </si>
  <si>
    <t xml:space="preserve">AVF260121 q36</t>
  </si>
  <si>
    <t xml:space="preserve">B</t>
  </si>
  <si>
    <t xml:space="preserve">PROVA 3 ANO - ITEM 36</t>
  </si>
  <si>
    <t xml:space="preserve">AVF 260122 q50</t>
  </si>
  <si>
    <t xml:space="preserve">AVF 260122 q51</t>
  </si>
  <si>
    <t xml:space="preserve">AVF260122 q52</t>
  </si>
  <si>
    <t xml:space="preserve">AVF2503 q24</t>
  </si>
  <si>
    <t xml:space="preserve">AVF2503 q25</t>
  </si>
  <si>
    <t xml:space="preserve">PROVA 3 ANO - ITEM 14</t>
  </si>
  <si>
    <t xml:space="preserve">AVF260121 q38</t>
  </si>
  <si>
    <t xml:space="preserve">AVF260121 q39</t>
  </si>
  <si>
    <t xml:space="preserve">PROVA 3 ANO - ITEM 20</t>
  </si>
  <si>
    <t xml:space="preserve">PROVA 3 ANO - ITEM 21</t>
  </si>
  <si>
    <t xml:space="preserve">PROVA 3 ANO - ITEM 22</t>
  </si>
  <si>
    <t xml:space="preserve">AVF260122 q39</t>
  </si>
  <si>
    <t xml:space="preserve">rpa_001</t>
  </si>
  <si>
    <t xml:space="preserve">rpa_002</t>
  </si>
  <si>
    <t xml:space="preserve">rpa_003</t>
  </si>
  <si>
    <t xml:space="preserve">rpa_004</t>
  </si>
  <si>
    <t xml:space="preserve">Sim</t>
  </si>
  <si>
    <t xml:space="preserve">rpa_005</t>
  </si>
  <si>
    <t xml:space="preserve">rpa_006</t>
  </si>
  <si>
    <t xml:space="preserve">rpa_007</t>
  </si>
  <si>
    <t xml:space="preserve">rpa_008</t>
  </si>
  <si>
    <t xml:space="preserve">rpa_009</t>
  </si>
  <si>
    <t xml:space="preserve">rpa_010</t>
  </si>
  <si>
    <t xml:space="preserve">rpa_011</t>
  </si>
  <si>
    <t xml:space="preserve">rpa_012</t>
  </si>
  <si>
    <t xml:space="preserve">rpa_013</t>
  </si>
  <si>
    <t xml:space="preserve">rpa_014</t>
  </si>
  <si>
    <t xml:space="preserve">rpa_015</t>
  </si>
  <si>
    <t xml:space="preserve">rpa_016</t>
  </si>
  <si>
    <t xml:space="preserve">rpa_017</t>
  </si>
  <si>
    <t xml:space="preserve">rpa_018</t>
  </si>
  <si>
    <t xml:space="preserve">rpa_019</t>
  </si>
  <si>
    <t xml:space="preserve">rpa_020</t>
  </si>
  <si>
    <t xml:space="preserve">rpa_021</t>
  </si>
  <si>
    <t xml:space="preserve">rpa_022</t>
  </si>
  <si>
    <t xml:space="preserve">rpa_023</t>
  </si>
  <si>
    <t xml:space="preserve">rpa_024</t>
  </si>
  <si>
    <t xml:space="preserve">rpa_025</t>
  </si>
  <si>
    <t xml:space="preserve">rpa_026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</si>
</sst>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name val="Calibri"/>
      <family val="0"/>
      <charset val="1"/>
    </font>
    <font>
      <sz val="11"/>
      <color theme="1"/>
      <name val="Calibri"/>
      <family val="0"/>
      <charset val="1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3" xfId="22"/>
    <cellStyle name="Normal 3 2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1" activeCellId="0" sqref="L2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3"/>
    <col collapsed="false" customWidth="true" hidden="false" outlineLevel="0" max="7" min="3" style="2" width="13"/>
    <col collapsed="false" customWidth="true" hidden="false" outlineLevel="0" max="8" min="8" style="3" width="35.57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 customFormat="false" ht="15" hidden="false" customHeight="false" outlineLevel="0" collapsed="false">
      <c r="A2" s="1" t="n">
        <f aca="false">1</f>
        <v>1</v>
      </c>
      <c r="B2" s="1" t="s">
        <v>8</v>
      </c>
      <c r="E2" s="7"/>
      <c r="F2" s="7"/>
      <c r="G2" s="7"/>
      <c r="H2" s="8"/>
      <c r="I2" s="9" t="n">
        <f aca="false">26+A2</f>
        <v>27</v>
      </c>
    </row>
    <row r="3" customFormat="false" ht="15" hidden="false" customHeight="false" outlineLevel="0" collapsed="false">
      <c r="A3" s="1" t="n">
        <f aca="false">A2+1</f>
        <v>2</v>
      </c>
      <c r="B3" s="1" t="s">
        <v>9</v>
      </c>
      <c r="E3" s="7"/>
      <c r="F3" s="7"/>
      <c r="G3" s="7"/>
      <c r="H3" s="10" t="s">
        <v>10</v>
      </c>
      <c r="I3" s="9" t="n">
        <f aca="false">26+A3</f>
        <v>28</v>
      </c>
    </row>
    <row r="4" customFormat="false" ht="15" hidden="false" customHeight="false" outlineLevel="0" collapsed="false">
      <c r="A4" s="1" t="n">
        <f aca="false">A3+1</f>
        <v>3</v>
      </c>
      <c r="B4" s="1" t="s">
        <v>11</v>
      </c>
      <c r="H4" s="10" t="s">
        <v>12</v>
      </c>
      <c r="I4" s="9" t="n">
        <f aca="false">26+A4</f>
        <v>29</v>
      </c>
    </row>
    <row r="5" customFormat="false" ht="15" hidden="false" customHeight="false" outlineLevel="0" collapsed="false">
      <c r="A5" s="1" t="n">
        <f aca="false">A4+1</f>
        <v>4</v>
      </c>
      <c r="B5" s="1" t="s">
        <v>11</v>
      </c>
      <c r="C5" s="11" t="n">
        <v>1.56</v>
      </c>
      <c r="D5" s="11" t="n">
        <v>2.673</v>
      </c>
      <c r="E5" s="11" t="n">
        <v>0.031</v>
      </c>
      <c r="F5" s="11" t="n">
        <v>383.669</v>
      </c>
      <c r="G5" s="11" t="n">
        <v>0.223</v>
      </c>
      <c r="H5" s="2" t="s">
        <v>13</v>
      </c>
      <c r="I5" s="9" t="n">
        <f aca="false">26+A5</f>
        <v>30</v>
      </c>
    </row>
    <row r="6" customFormat="false" ht="15" hidden="false" customHeight="false" outlineLevel="0" collapsed="false">
      <c r="A6" s="1" t="n">
        <f aca="false">A5+1</f>
        <v>5</v>
      </c>
      <c r="B6" s="1" t="s">
        <v>8</v>
      </c>
      <c r="C6" s="11" t="n">
        <v>0.372</v>
      </c>
      <c r="D6" s="11" t="n">
        <v>5.444</v>
      </c>
      <c r="E6" s="11" t="n">
        <v>0.007</v>
      </c>
      <c r="F6" s="11" t="n">
        <v>522.224</v>
      </c>
      <c r="G6" s="11" t="n">
        <v>0.071</v>
      </c>
      <c r="H6" s="2" t="s">
        <v>14</v>
      </c>
      <c r="I6" s="9" t="n">
        <f aca="false">26+A6</f>
        <v>31</v>
      </c>
    </row>
    <row r="7" customFormat="false" ht="15" hidden="false" customHeight="false" outlineLevel="0" collapsed="false">
      <c r="A7" s="1" t="n">
        <f aca="false">A6+1</f>
        <v>6</v>
      </c>
      <c r="B7" s="1" t="s">
        <v>9</v>
      </c>
      <c r="C7" s="2" t="n">
        <v>0.843417332943628</v>
      </c>
      <c r="D7" s="2" t="n">
        <v>1.01328778238753</v>
      </c>
      <c r="E7" s="2" t="n">
        <v>0.0168683466588725</v>
      </c>
      <c r="F7" s="2" t="n">
        <v>300.664389119377</v>
      </c>
      <c r="G7" s="2" t="n">
        <v>0.0161555405979066</v>
      </c>
      <c r="H7" s="2" t="s">
        <v>15</v>
      </c>
      <c r="I7" s="9" t="n">
        <f aca="false">26+A7</f>
        <v>32</v>
      </c>
    </row>
    <row r="8" customFormat="false" ht="15" hidden="false" customHeight="false" outlineLevel="0" collapsed="false">
      <c r="A8" s="1" t="n">
        <f aca="false">A7+1</f>
        <v>7</v>
      </c>
      <c r="B8" s="1" t="s">
        <v>16</v>
      </c>
      <c r="C8" s="2" t="n">
        <v>1.0627797687673</v>
      </c>
      <c r="D8" s="2" t="n">
        <v>3.25034579224713</v>
      </c>
      <c r="E8" s="2" t="n">
        <v>0.0212555953753461</v>
      </c>
      <c r="F8" s="2" t="n">
        <v>412.517289612357</v>
      </c>
      <c r="G8" s="2" t="n">
        <v>0.178081424286593</v>
      </c>
      <c r="H8" s="2" t="s">
        <v>17</v>
      </c>
      <c r="I8" s="9" t="n">
        <f aca="false">26+A8</f>
        <v>33</v>
      </c>
    </row>
    <row r="9" customFormat="false" ht="15" hidden="false" customHeight="false" outlineLevel="0" collapsed="false">
      <c r="A9" s="1" t="n">
        <f aca="false">A8+1</f>
        <v>8</v>
      </c>
      <c r="B9" s="1" t="s">
        <v>11</v>
      </c>
      <c r="C9" s="2" t="n">
        <v>1.44617244574152</v>
      </c>
      <c r="D9" s="2" t="n">
        <v>2.66265077769934</v>
      </c>
      <c r="E9" s="2" t="n">
        <v>0.0289234489148303</v>
      </c>
      <c r="F9" s="2" t="n">
        <v>383.132538884967</v>
      </c>
      <c r="G9" s="2" t="n">
        <v>0.175890036350279</v>
      </c>
      <c r="H9" s="2" t="s">
        <v>18</v>
      </c>
      <c r="I9" s="9" t="n">
        <f aca="false">26+A9</f>
        <v>34</v>
      </c>
    </row>
    <row r="10" customFormat="false" ht="15" hidden="false" customHeight="false" outlineLevel="0" collapsed="false">
      <c r="A10" s="1" t="n">
        <f aca="false">A9+1</f>
        <v>9</v>
      </c>
      <c r="B10" s="1" t="s">
        <v>11</v>
      </c>
      <c r="H10" s="2"/>
      <c r="I10" s="9" t="n">
        <f aca="false">26+A10</f>
        <v>35</v>
      </c>
    </row>
    <row r="11" customFormat="false" ht="15" hidden="false" customHeight="false" outlineLevel="0" collapsed="false">
      <c r="A11" s="1" t="n">
        <f aca="false">A10+1</f>
        <v>10</v>
      </c>
      <c r="B11" s="1" t="s">
        <v>19</v>
      </c>
      <c r="H11" s="12" t="s">
        <v>20</v>
      </c>
      <c r="I11" s="9" t="n">
        <f aca="false">26+A11</f>
        <v>36</v>
      </c>
    </row>
    <row r="12" customFormat="false" ht="15" hidden="false" customHeight="false" outlineLevel="0" collapsed="false">
      <c r="A12" s="1" t="n">
        <f aca="false">A11+1</f>
        <v>11</v>
      </c>
      <c r="B12" s="1" t="s">
        <v>16</v>
      </c>
      <c r="C12" s="2" t="n">
        <v>1.70485770995118</v>
      </c>
      <c r="D12" s="2" t="n">
        <v>2.21387696226408</v>
      </c>
      <c r="E12" s="2" t="n">
        <v>0.0340971541990235</v>
      </c>
      <c r="F12" s="2" t="n">
        <v>360.693848113204</v>
      </c>
      <c r="G12" s="2" t="n">
        <v>0.174632413573961</v>
      </c>
      <c r="H12" s="2" t="s">
        <v>21</v>
      </c>
      <c r="I12" s="9" t="n">
        <f aca="false">26+A12</f>
        <v>37</v>
      </c>
    </row>
    <row r="13" customFormat="false" ht="15" hidden="false" customHeight="false" outlineLevel="0" collapsed="false">
      <c r="A13" s="1" t="n">
        <f aca="false">A12+1</f>
        <v>12</v>
      </c>
      <c r="B13" s="1" t="s">
        <v>8</v>
      </c>
      <c r="C13" s="2" t="n">
        <v>1.24657501230464</v>
      </c>
      <c r="D13" s="2" t="n">
        <v>1.85487257458894</v>
      </c>
      <c r="E13" s="2" t="n">
        <v>0.0249315002460928</v>
      </c>
      <c r="F13" s="2" t="n">
        <v>342.743628729447</v>
      </c>
      <c r="G13" s="2" t="n">
        <v>0.103844749041497</v>
      </c>
      <c r="H13" s="2" t="s">
        <v>22</v>
      </c>
      <c r="I13" s="9" t="n">
        <f aca="false">26+A13</f>
        <v>38</v>
      </c>
    </row>
    <row r="14" customFormat="false" ht="15" hidden="false" customHeight="false" outlineLevel="0" collapsed="false">
      <c r="A14" s="1" t="n">
        <f aca="false">A13+1</f>
        <v>13</v>
      </c>
      <c r="B14" s="1" t="s">
        <v>19</v>
      </c>
      <c r="C14" s="2" t="n">
        <v>1.22742731801846</v>
      </c>
      <c r="D14" s="2" t="n">
        <v>2.67255617837511</v>
      </c>
      <c r="E14" s="2" t="n">
        <v>0.0245485463603693</v>
      </c>
      <c r="F14" s="2" t="n">
        <v>383.627808918756</v>
      </c>
      <c r="G14" s="2" t="n">
        <v>0.193535074744008</v>
      </c>
      <c r="H14" s="2" t="s">
        <v>23</v>
      </c>
      <c r="I14" s="9" t="n">
        <f aca="false">26+A14</f>
        <v>39</v>
      </c>
    </row>
    <row r="15" customFormat="false" ht="15" hidden="false" customHeight="false" outlineLevel="0" collapsed="false">
      <c r="A15" s="1" t="n">
        <f aca="false">A14+1</f>
        <v>14</v>
      </c>
      <c r="B15" s="1" t="s">
        <v>11</v>
      </c>
      <c r="C15" s="11" t="n">
        <v>1.663</v>
      </c>
      <c r="D15" s="11" t="n">
        <v>2.836</v>
      </c>
      <c r="E15" s="11" t="n">
        <v>0.033</v>
      </c>
      <c r="F15" s="11" t="n">
        <v>391.822</v>
      </c>
      <c r="G15" s="11" t="n">
        <v>0.22</v>
      </c>
      <c r="H15" s="2" t="s">
        <v>24</v>
      </c>
      <c r="I15" s="9" t="n">
        <f aca="false">26+A15</f>
        <v>40</v>
      </c>
    </row>
    <row r="16" customFormat="false" ht="15" hidden="false" customHeight="false" outlineLevel="0" collapsed="false">
      <c r="A16" s="1" t="n">
        <f aca="false">A15+1</f>
        <v>15</v>
      </c>
      <c r="B16" s="1" t="s">
        <v>11</v>
      </c>
      <c r="C16" s="11" t="n">
        <v>2.867</v>
      </c>
      <c r="D16" s="11" t="n">
        <v>2.358</v>
      </c>
      <c r="E16" s="11" t="n">
        <v>0.057</v>
      </c>
      <c r="F16" s="11" t="n">
        <v>367.893</v>
      </c>
      <c r="G16" s="11" t="n">
        <v>0.156</v>
      </c>
      <c r="H16" s="2" t="s">
        <v>25</v>
      </c>
      <c r="I16" s="9" t="n">
        <f aca="false">26+A16</f>
        <v>41</v>
      </c>
    </row>
    <row r="17" customFormat="false" ht="15" hidden="false" customHeight="false" outlineLevel="0" collapsed="false">
      <c r="A17" s="1" t="n">
        <f aca="false">A16+1</f>
        <v>16</v>
      </c>
      <c r="B17" s="1" t="s">
        <v>9</v>
      </c>
      <c r="H17" s="10" t="s">
        <v>26</v>
      </c>
      <c r="I17" s="9" t="n">
        <f aca="false">26+A17</f>
        <v>42</v>
      </c>
    </row>
    <row r="18" customFormat="false" ht="15" hidden="false" customHeight="false" outlineLevel="0" collapsed="false">
      <c r="A18" s="1" t="n">
        <f aca="false">A17+1</f>
        <v>17</v>
      </c>
      <c r="B18" s="1" t="s">
        <v>19</v>
      </c>
      <c r="H18" s="2"/>
      <c r="I18" s="9" t="n">
        <f aca="false">26+A18</f>
        <v>43</v>
      </c>
    </row>
    <row r="19" customFormat="false" ht="15" hidden="false" customHeight="false" outlineLevel="0" collapsed="false">
      <c r="A19" s="1" t="n">
        <f aca="false">A18+1</f>
        <v>18</v>
      </c>
      <c r="B19" s="1" t="s">
        <v>8</v>
      </c>
      <c r="C19" s="2" t="n">
        <v>1.54104954143406</v>
      </c>
      <c r="D19" s="2" t="n">
        <v>2.93556623650522</v>
      </c>
      <c r="E19" s="2" t="n">
        <v>0.0308209908286812</v>
      </c>
      <c r="F19" s="2" t="n">
        <v>396.778311825261</v>
      </c>
      <c r="G19" s="2" t="n">
        <v>0.109863312205395</v>
      </c>
      <c r="H19" s="2" t="s">
        <v>27</v>
      </c>
      <c r="I19" s="9" t="n">
        <f aca="false">26+A19</f>
        <v>44</v>
      </c>
    </row>
    <row r="20" customFormat="false" ht="15" hidden="false" customHeight="false" outlineLevel="0" collapsed="false">
      <c r="A20" s="1" t="n">
        <f aca="false">A19+1</f>
        <v>19</v>
      </c>
      <c r="B20" s="1" t="s">
        <v>11</v>
      </c>
      <c r="C20" s="2" t="n">
        <v>2.61541934777186</v>
      </c>
      <c r="D20" s="2" t="n">
        <v>2.57156058184516</v>
      </c>
      <c r="E20" s="2" t="n">
        <v>0.0523083869554372</v>
      </c>
      <c r="F20" s="2" t="n">
        <v>378.578029092258</v>
      </c>
      <c r="G20" s="2" t="n">
        <v>0.214850619455008</v>
      </c>
      <c r="H20" s="2" t="s">
        <v>28</v>
      </c>
      <c r="I20" s="9" t="n">
        <f aca="false">26+A20</f>
        <v>45</v>
      </c>
    </row>
    <row r="21" customFormat="false" ht="15" hidden="false" customHeight="false" outlineLevel="0" collapsed="false">
      <c r="A21" s="1" t="n">
        <f aca="false">A20+1</f>
        <v>20</v>
      </c>
      <c r="B21" s="1" t="s">
        <v>19</v>
      </c>
      <c r="C21" s="11"/>
      <c r="D21" s="11"/>
      <c r="E21" s="11"/>
      <c r="F21" s="11"/>
      <c r="G21" s="11"/>
      <c r="H21" s="10" t="s">
        <v>29</v>
      </c>
      <c r="I21" s="9" t="n">
        <f aca="false">26+A21</f>
        <v>46</v>
      </c>
    </row>
    <row r="22" customFormat="false" ht="15" hidden="false" customHeight="false" outlineLevel="0" collapsed="false">
      <c r="A22" s="1" t="n">
        <f aca="false">A21+1</f>
        <v>21</v>
      </c>
      <c r="B22" s="1" t="s">
        <v>16</v>
      </c>
      <c r="H22" s="10" t="s">
        <v>30</v>
      </c>
      <c r="I22" s="9" t="n">
        <f aca="false">26+A22</f>
        <v>47</v>
      </c>
    </row>
    <row r="23" customFormat="false" ht="15" hidden="false" customHeight="false" outlineLevel="0" collapsed="false">
      <c r="A23" s="1" t="n">
        <f aca="false">A22+1</f>
        <v>22</v>
      </c>
      <c r="B23" s="1" t="s">
        <v>9</v>
      </c>
      <c r="H23" s="10" t="s">
        <v>31</v>
      </c>
      <c r="I23" s="9" t="n">
        <f aca="false">26+A23</f>
        <v>48</v>
      </c>
    </row>
    <row r="24" customFormat="false" ht="15" hidden="false" customHeight="false" outlineLevel="0" collapsed="false">
      <c r="A24" s="1" t="n">
        <f aca="false">A23+1</f>
        <v>23</v>
      </c>
      <c r="B24" s="1" t="s">
        <v>19</v>
      </c>
      <c r="H24" s="2"/>
      <c r="I24" s="9" t="n">
        <f aca="false">26+A24</f>
        <v>49</v>
      </c>
    </row>
    <row r="25" customFormat="false" ht="15" hidden="false" customHeight="false" outlineLevel="0" collapsed="false">
      <c r="A25" s="1" t="n">
        <f aca="false">A24+1</f>
        <v>24</v>
      </c>
      <c r="B25" s="1" t="s">
        <v>16</v>
      </c>
      <c r="H25" s="2"/>
      <c r="I25" s="9" t="n">
        <f aca="false">26+A25</f>
        <v>50</v>
      </c>
    </row>
    <row r="26" customFormat="false" ht="15" hidden="false" customHeight="false" outlineLevel="0" collapsed="false">
      <c r="A26" s="1" t="n">
        <f aca="false">A25+1</f>
        <v>25</v>
      </c>
      <c r="B26" s="1" t="s">
        <v>9</v>
      </c>
      <c r="H26" s="2"/>
      <c r="I26" s="9" t="n">
        <f aca="false">26+A26</f>
        <v>51</v>
      </c>
    </row>
    <row r="27" customFormat="false" ht="15" hidden="false" customHeight="false" outlineLevel="0" collapsed="false">
      <c r="A27" s="1" t="n">
        <f aca="false">A26+1</f>
        <v>26</v>
      </c>
      <c r="B27" s="1" t="s">
        <v>8</v>
      </c>
      <c r="C27" s="2" t="n">
        <v>2.3242653531958</v>
      </c>
      <c r="D27" s="2" t="n">
        <v>2.81373560338526</v>
      </c>
      <c r="E27" s="2" t="n">
        <v>0.046485307063916</v>
      </c>
      <c r="F27" s="2" t="n">
        <v>390.686780169263</v>
      </c>
      <c r="G27" s="2" t="n">
        <v>0.125612831543424</v>
      </c>
      <c r="H27" s="2" t="s">
        <v>32</v>
      </c>
      <c r="I27" s="9" t="n">
        <f aca="false">26+A27</f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J9" activeCellId="0" sqref="J9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2" width="8.68"/>
    <col collapsed="false" customWidth="true" hidden="false" outlineLevel="0" max="6" min="2" style="2" width="13"/>
    <col collapsed="false" customWidth="true" hidden="false" outlineLevel="0" max="7" min="7" style="2" width="35.57"/>
  </cols>
  <sheetData>
    <row r="1" customFormat="false" ht="13.8" hidden="false" customHeight="false" outlineLevel="0" collapsed="false">
      <c r="A1" s="4" t="s">
        <v>0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customFormat="false" ht="13.8" hidden="false" customHeight="false" outlineLevel="0" collapsed="false">
      <c r="A2" s="2" t="s">
        <v>33</v>
      </c>
      <c r="D2" s="8"/>
      <c r="E2" s="8"/>
      <c r="F2" s="8"/>
      <c r="G2" s="8"/>
    </row>
    <row r="3" customFormat="false" ht="13.8" hidden="false" customHeight="false" outlineLevel="0" collapsed="false">
      <c r="A3" s="2" t="s">
        <v>34</v>
      </c>
      <c r="D3" s="8"/>
      <c r="E3" s="8"/>
      <c r="F3" s="8"/>
      <c r="G3" s="13"/>
    </row>
    <row r="4" customFormat="false" ht="13.8" hidden="false" customHeight="false" outlineLevel="0" collapsed="false">
      <c r="A4" s="2" t="s">
        <v>35</v>
      </c>
      <c r="G4" s="13"/>
    </row>
    <row r="5" customFormat="false" ht="13.8" hidden="false" customHeight="false" outlineLevel="0" collapsed="false">
      <c r="A5" s="2" t="s">
        <v>36</v>
      </c>
      <c r="B5" s="14" t="n">
        <v>1.56</v>
      </c>
      <c r="C5" s="14" t="n">
        <v>2.673</v>
      </c>
      <c r="D5" s="14" t="n">
        <v>0.031</v>
      </c>
      <c r="E5" s="14" t="n">
        <v>383.669</v>
      </c>
      <c r="F5" s="14" t="n">
        <v>0.223</v>
      </c>
      <c r="G5" s="2" t="s">
        <v>37</v>
      </c>
    </row>
    <row r="6" customFormat="false" ht="13.8" hidden="false" customHeight="false" outlineLevel="0" collapsed="false">
      <c r="A6" s="2" t="s">
        <v>38</v>
      </c>
      <c r="B6" s="14" t="n">
        <v>0.372</v>
      </c>
      <c r="C6" s="14" t="n">
        <v>5.444</v>
      </c>
      <c r="D6" s="14" t="n">
        <v>0.007</v>
      </c>
      <c r="E6" s="14" t="n">
        <v>522.224</v>
      </c>
      <c r="F6" s="14" t="n">
        <v>0.071</v>
      </c>
      <c r="G6" s="2" t="s">
        <v>37</v>
      </c>
    </row>
    <row r="7" customFormat="false" ht="13.8" hidden="false" customHeight="false" outlineLevel="0" collapsed="false">
      <c r="A7" s="2" t="s">
        <v>39</v>
      </c>
      <c r="B7" s="2" t="n">
        <v>0.843417332943628</v>
      </c>
      <c r="C7" s="2" t="n">
        <v>1.01328778238753</v>
      </c>
      <c r="D7" s="2" t="n">
        <v>0.0168683466588725</v>
      </c>
      <c r="E7" s="2" t="n">
        <v>300.664389119377</v>
      </c>
      <c r="F7" s="2" t="n">
        <v>0.0161555405979066</v>
      </c>
      <c r="G7" s="2" t="s">
        <v>37</v>
      </c>
    </row>
    <row r="8" customFormat="false" ht="13.8" hidden="false" customHeight="false" outlineLevel="0" collapsed="false">
      <c r="A8" s="2" t="s">
        <v>40</v>
      </c>
      <c r="B8" s="2" t="n">
        <v>1.0627797687673</v>
      </c>
      <c r="C8" s="2" t="n">
        <v>3.25034579224713</v>
      </c>
      <c r="D8" s="2" t="n">
        <v>0.0212555953753461</v>
      </c>
      <c r="E8" s="2" t="n">
        <v>412.517289612357</v>
      </c>
      <c r="F8" s="2" t="n">
        <v>0.178081424286593</v>
      </c>
      <c r="G8" s="2" t="s">
        <v>37</v>
      </c>
    </row>
    <row r="9" customFormat="false" ht="13.8" hidden="false" customHeight="false" outlineLevel="0" collapsed="false">
      <c r="A9" s="2" t="s">
        <v>41</v>
      </c>
      <c r="B9" s="2" t="n">
        <v>1.44617244574152</v>
      </c>
      <c r="C9" s="2" t="n">
        <v>2.66265077769934</v>
      </c>
      <c r="D9" s="2" t="n">
        <v>0.0289234489148303</v>
      </c>
      <c r="E9" s="2" t="n">
        <v>383.132538884967</v>
      </c>
      <c r="F9" s="2" t="n">
        <v>0.175890036350279</v>
      </c>
      <c r="G9" s="2" t="s">
        <v>37</v>
      </c>
    </row>
    <row r="10" customFormat="false" ht="13.8" hidden="false" customHeight="false" outlineLevel="0" collapsed="false">
      <c r="A10" s="2" t="s">
        <v>42</v>
      </c>
    </row>
    <row r="11" customFormat="false" ht="13.8" hidden="false" customHeight="false" outlineLevel="0" collapsed="false">
      <c r="A11" s="2" t="s">
        <v>43</v>
      </c>
      <c r="G11" s="15"/>
    </row>
    <row r="12" customFormat="false" ht="13.8" hidden="false" customHeight="false" outlineLevel="0" collapsed="false">
      <c r="A12" s="2" t="s">
        <v>44</v>
      </c>
      <c r="B12" s="2" t="n">
        <v>1.70485770995118</v>
      </c>
      <c r="C12" s="2" t="n">
        <v>2.21387696226408</v>
      </c>
      <c r="D12" s="2" t="n">
        <v>0.0340971541990235</v>
      </c>
      <c r="E12" s="2" t="n">
        <v>360.693848113204</v>
      </c>
      <c r="F12" s="2" t="n">
        <v>0.174632413573961</v>
      </c>
      <c r="G12" s="2" t="s">
        <v>37</v>
      </c>
    </row>
    <row r="13" customFormat="false" ht="13.8" hidden="false" customHeight="false" outlineLevel="0" collapsed="false">
      <c r="A13" s="2" t="s">
        <v>45</v>
      </c>
      <c r="B13" s="2" t="n">
        <v>1.24657501230464</v>
      </c>
      <c r="C13" s="2" t="n">
        <v>1.85487257458894</v>
      </c>
      <c r="D13" s="2" t="n">
        <v>0.0249315002460928</v>
      </c>
      <c r="E13" s="2" t="n">
        <v>342.743628729447</v>
      </c>
      <c r="F13" s="2" t="n">
        <v>0.103844749041497</v>
      </c>
      <c r="G13" s="2" t="s">
        <v>37</v>
      </c>
    </row>
    <row r="14" customFormat="false" ht="13.8" hidden="false" customHeight="false" outlineLevel="0" collapsed="false">
      <c r="A14" s="2" t="s">
        <v>46</v>
      </c>
      <c r="B14" s="2" t="n">
        <v>1.22742731801846</v>
      </c>
      <c r="C14" s="2" t="n">
        <v>2.67255617837511</v>
      </c>
      <c r="D14" s="2" t="n">
        <v>0.0245485463603693</v>
      </c>
      <c r="E14" s="2" t="n">
        <v>383.627808918756</v>
      </c>
      <c r="F14" s="2" t="n">
        <v>0.193535074744008</v>
      </c>
      <c r="G14" s="2" t="s">
        <v>37</v>
      </c>
    </row>
    <row r="15" customFormat="false" ht="13.8" hidden="false" customHeight="false" outlineLevel="0" collapsed="false">
      <c r="A15" s="2" t="s">
        <v>47</v>
      </c>
      <c r="B15" s="14" t="n">
        <v>1.663</v>
      </c>
      <c r="C15" s="14" t="n">
        <v>2.836</v>
      </c>
      <c r="D15" s="14" t="n">
        <v>0.033</v>
      </c>
      <c r="E15" s="14" t="n">
        <v>391.822</v>
      </c>
      <c r="F15" s="14" t="n">
        <v>0.22</v>
      </c>
      <c r="G15" s="2" t="s">
        <v>37</v>
      </c>
    </row>
    <row r="16" customFormat="false" ht="13.8" hidden="false" customHeight="false" outlineLevel="0" collapsed="false">
      <c r="A16" s="2" t="s">
        <v>48</v>
      </c>
      <c r="B16" s="14" t="n">
        <v>2.867</v>
      </c>
      <c r="C16" s="14" t="n">
        <v>2.358</v>
      </c>
      <c r="D16" s="14" t="n">
        <v>0.057</v>
      </c>
      <c r="E16" s="14" t="n">
        <v>367.893</v>
      </c>
      <c r="F16" s="14" t="n">
        <v>0.156</v>
      </c>
      <c r="G16" s="2" t="s">
        <v>37</v>
      </c>
    </row>
    <row r="17" customFormat="false" ht="13.8" hidden="false" customHeight="false" outlineLevel="0" collapsed="false">
      <c r="A17" s="2" t="s">
        <v>49</v>
      </c>
      <c r="G17" s="13"/>
    </row>
    <row r="18" customFormat="false" ht="13.8" hidden="false" customHeight="false" outlineLevel="0" collapsed="false">
      <c r="A18" s="2" t="s">
        <v>50</v>
      </c>
    </row>
    <row r="19" customFormat="false" ht="13.8" hidden="false" customHeight="false" outlineLevel="0" collapsed="false">
      <c r="A19" s="2" t="s">
        <v>51</v>
      </c>
      <c r="B19" s="2" t="n">
        <v>1.54104954143406</v>
      </c>
      <c r="C19" s="2" t="n">
        <v>2.93556623650522</v>
      </c>
      <c r="D19" s="2" t="n">
        <v>0.0308209908286812</v>
      </c>
      <c r="E19" s="2" t="n">
        <v>396.778311825261</v>
      </c>
      <c r="F19" s="2" t="n">
        <v>0.109863312205395</v>
      </c>
      <c r="G19" s="2" t="s">
        <v>37</v>
      </c>
    </row>
    <row r="20" customFormat="false" ht="13.8" hidden="false" customHeight="false" outlineLevel="0" collapsed="false">
      <c r="A20" s="2" t="s">
        <v>52</v>
      </c>
      <c r="B20" s="2" t="n">
        <v>2.61541934777186</v>
      </c>
      <c r="C20" s="2" t="n">
        <v>2.57156058184516</v>
      </c>
      <c r="D20" s="2" t="n">
        <v>0.0523083869554372</v>
      </c>
      <c r="E20" s="2" t="n">
        <v>378.578029092258</v>
      </c>
      <c r="F20" s="2" t="n">
        <v>0.214850619455008</v>
      </c>
      <c r="G20" s="2" t="s">
        <v>37</v>
      </c>
    </row>
    <row r="21" customFormat="false" ht="13.8" hidden="false" customHeight="false" outlineLevel="0" collapsed="false">
      <c r="A21" s="2" t="s">
        <v>53</v>
      </c>
      <c r="B21" s="14"/>
      <c r="C21" s="14"/>
      <c r="D21" s="14"/>
      <c r="E21" s="14"/>
      <c r="F21" s="14"/>
      <c r="G21" s="13"/>
    </row>
    <row r="22" customFormat="false" ht="13.8" hidden="false" customHeight="false" outlineLevel="0" collapsed="false">
      <c r="A22" s="2" t="s">
        <v>54</v>
      </c>
      <c r="G22" s="13"/>
    </row>
    <row r="23" customFormat="false" ht="13.8" hidden="false" customHeight="false" outlineLevel="0" collapsed="false">
      <c r="A23" s="2" t="s">
        <v>55</v>
      </c>
      <c r="G23" s="13"/>
    </row>
    <row r="24" customFormat="false" ht="13.8" hidden="false" customHeight="false" outlineLevel="0" collapsed="false">
      <c r="A24" s="2" t="s">
        <v>56</v>
      </c>
    </row>
    <row r="25" customFormat="false" ht="13.8" hidden="false" customHeight="false" outlineLevel="0" collapsed="false">
      <c r="A25" s="2" t="s">
        <v>57</v>
      </c>
    </row>
    <row r="26" customFormat="false" ht="13.8" hidden="false" customHeight="false" outlineLevel="0" collapsed="false">
      <c r="A26" s="2" t="s">
        <v>58</v>
      </c>
    </row>
    <row r="27" customFormat="false" ht="13.8" hidden="false" customHeight="false" outlineLevel="0" collapsed="false">
      <c r="A27" s="2" t="s">
        <v>59</v>
      </c>
      <c r="B27" s="2" t="n">
        <v>2.3242653531958</v>
      </c>
      <c r="C27" s="2" t="n">
        <v>2.81373560338526</v>
      </c>
      <c r="D27" s="2" t="n">
        <v>0.046485307063916</v>
      </c>
      <c r="E27" s="2" t="n">
        <v>390.686780169263</v>
      </c>
      <c r="F27" s="2" t="n">
        <v>0.125612831543424</v>
      </c>
      <c r="G27" s="2" t="s">
        <v>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2025-08-28T12:45:01Z</dcterms:created>
  <dc:creator/>
  <dc:description/>
  <dc:language>pt-BR</dc:language>
  <cp:lastModifiedBy/>
  <dcterms:modified xsi:type="dcterms:W3CDTF">2026-07-19T12:23:20Z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