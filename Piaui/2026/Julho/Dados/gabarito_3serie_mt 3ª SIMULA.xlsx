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MT_3EM_S3" sheetId="2" state="visible" r:id="rId4"/>
    <sheet name="MT_3EM_2EM_liv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<sst xmlns="http://schemas.openxmlformats.org/spreadsheetml/2006/main" count="142" uniqueCount="57">
  <si>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</si>
  <si>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</si>
  <si>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</si>
  <si>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</si>
  <si>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</si>
  <si>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</si>
  <si>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</si>
  <si>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</si>
  <si>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E</t>
  </si>
  <si>
    <t xml:space="preserve">D</t>
  </si>
  <si>
    <t xml:space="preserve">C</t>
  </si>
  <si>
    <t xml:space="preserve">PROVA 2 ANO - ITEM 2</t>
  </si>
  <si>
    <t xml:space="preserve">PROVA 2 ANO - ITEM 3</t>
  </si>
  <si>
    <t xml:space="preserve">A</t>
  </si>
  <si>
    <t xml:space="preserve">AVF2501 q21</t>
  </si>
  <si>
    <t xml:space="preserve">AVF260132 q51</t>
  </si>
  <si>
    <t xml:space="preserve">B</t>
  </si>
  <si>
    <t xml:space="preserve">AVF2501 q23</t>
  </si>
  <si>
    <t xml:space="preserve">AVF2501 q24</t>
  </si>
  <si>
    <t xml:space="preserve">PROVA 2 ANO - ITEM 14</t>
  </si>
  <si>
    <t xml:space="preserve">AVF260132 q36</t>
  </si>
  <si>
    <t xml:space="preserve">AVF260132 q37</t>
  </si>
  <si>
    <t xml:space="preserve">PROVA 2 ANO - ITEM 20</t>
  </si>
  <si>
    <t xml:space="preserve">PROVA 2 ANO - ITEM 21</t>
  </si>
  <si>
    <t xml:space="preserve">PROVA 2 ANO - ITEM 22</t>
  </si>
  <si>
    <t xml:space="preserve">AVF260132 q49</t>
  </si>
  <si>
    <t xml:space="preserve">AVF260131 q40</t>
  </si>
  <si>
    <t xml:space="preserve">ANULADA</t>
  </si>
  <si>
    <r>
      <rPr>
        <sz val="11"/>
        <color rgb="FF000000"/>
        <rFont val="Calibri, sans-serif"/>
        <family val="0"/>
        <charset val="1"/>
      </rPr>
      <t xml:space="preserve">AVF260131 q41</t>
    </r>
    <r>
      <rPr>
        <sz val="11"/>
        <color rgb="FFFF0000"/>
        <rFont val="Calibri, sans-serif"/>
        <family val="0"/>
        <charset val="1"/>
      </rPr>
      <t xml:space="preserve"> (GABARITO DUPLO)</t>
    </r>
  </si>
  <si>
    <t xml:space="preserve">AVF260132 q47</t>
  </si>
  <si>
    <t xml:space="preserve">rpa_001</t>
  </si>
  <si>
    <t xml:space="preserve">rpa_002</t>
  </si>
  <si>
    <t xml:space="preserve">rpa_003</t>
  </si>
  <si>
    <t xml:space="preserve">rpa_004</t>
  </si>
  <si>
    <t xml:space="preserve">Sim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</si>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</sst>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, sans-serif"/>
      <family val="0"/>
      <charset val="1"/>
    </font>
    <font>
      <sz val="11"/>
      <color rgb="FFFF0000"/>
      <name val="Calibri, sans-serif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1" activeCellId="0" sqref="C21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1" width="10.85"/>
    <col collapsed="false" customWidth="true" hidden="false" outlineLevel="0" max="4" min="3" style="1" width="8.71"/>
    <col collapsed="false" customWidth="true" hidden="false" outlineLevel="0" max="7" min="5" style="1" width="12.42"/>
    <col collapsed="false" customWidth="true" hidden="false" outlineLevel="0" max="8" min="8" style="1" width="42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customFormat="false" ht="15" hidden="false" customHeight="false" outlineLevel="0" collapsed="false">
      <c r="A2" s="1" t="n">
        <v>1</v>
      </c>
      <c r="B2" s="1" t="s">
        <v>8</v>
      </c>
      <c r="C2" s="5"/>
      <c r="D2" s="5"/>
      <c r="E2" s="6"/>
      <c r="F2" s="6"/>
      <c r="G2" s="6"/>
      <c r="H2" s="5"/>
    </row>
    <row r="3" customFormat="false" ht="15" hidden="false" customHeight="false" outlineLevel="0" collapsed="false">
      <c r="A3" s="1" t="n">
        <f aca="false">A2+1</f>
        <v>2</v>
      </c>
      <c r="B3" s="1" t="s">
        <v>9</v>
      </c>
      <c r="C3" s="5"/>
      <c r="D3" s="5"/>
      <c r="E3" s="6"/>
      <c r="F3" s="6"/>
      <c r="G3" s="6"/>
      <c r="H3" s="5"/>
    </row>
    <row r="4" customFormat="false" ht="15" hidden="false" customHeight="false" outlineLevel="0" collapsed="false">
      <c r="A4" s="1" t="n">
        <f aca="false">A3+1</f>
        <v>3</v>
      </c>
      <c r="B4" s="1" t="s">
        <v>10</v>
      </c>
      <c r="H4" s="5"/>
    </row>
    <row r="5" customFormat="false" ht="15" hidden="false" customHeight="false" outlineLevel="0" collapsed="false">
      <c r="A5" s="1" t="n">
        <f aca="false">A4+1</f>
        <v>4</v>
      </c>
      <c r="B5" s="1" t="s">
        <v>10</v>
      </c>
      <c r="C5" s="1" t="n">
        <v>0.182778430139589</v>
      </c>
      <c r="D5" s="1" t="n">
        <v>4.79930977775088</v>
      </c>
      <c r="E5" s="1" t="n">
        <v>0.00365556860279178</v>
      </c>
      <c r="F5" s="1" t="n">
        <v>489.965488887544</v>
      </c>
      <c r="G5" s="1" t="n">
        <v>0.0459882824458235</v>
      </c>
      <c r="H5" s="7" t="s">
        <v>11</v>
      </c>
    </row>
    <row r="6" customFormat="false" ht="15" hidden="false" customHeight="false" outlineLevel="0" collapsed="false">
      <c r="A6" s="1" t="n">
        <f aca="false">A5+1</f>
        <v>5</v>
      </c>
      <c r="B6" s="1" t="s">
        <v>8</v>
      </c>
      <c r="C6" s="1" t="n">
        <v>2.26596614775884</v>
      </c>
      <c r="D6" s="1" t="n">
        <v>2.19308960864848</v>
      </c>
      <c r="E6" s="1" t="n">
        <v>0.0453193229551767</v>
      </c>
      <c r="F6" s="1" t="n">
        <v>359.654480432424</v>
      </c>
      <c r="G6" s="1" t="n">
        <v>0.239138866944971</v>
      </c>
      <c r="H6" s="7" t="s">
        <v>12</v>
      </c>
    </row>
    <row r="7" customFormat="false" ht="15" hidden="false" customHeight="false" outlineLevel="0" collapsed="false">
      <c r="A7" s="1" t="n">
        <f aca="false">A6+1</f>
        <v>6</v>
      </c>
      <c r="B7" s="1" t="s">
        <v>9</v>
      </c>
      <c r="C7" s="8"/>
      <c r="D7" s="8"/>
      <c r="E7" s="8"/>
      <c r="F7" s="8"/>
      <c r="G7" s="8"/>
      <c r="H7" s="5"/>
    </row>
    <row r="8" customFormat="false" ht="15" hidden="false" customHeight="false" outlineLevel="0" collapsed="false">
      <c r="A8" s="1" t="n">
        <f aca="false">A7+1</f>
        <v>7</v>
      </c>
      <c r="B8" s="1" t="s">
        <v>13</v>
      </c>
      <c r="H8" s="5"/>
    </row>
    <row r="9" customFormat="false" ht="15" hidden="false" customHeight="false" outlineLevel="0" collapsed="false">
      <c r="A9" s="1" t="n">
        <f aca="false">A8+1</f>
        <v>8</v>
      </c>
      <c r="B9" s="1" t="s">
        <v>10</v>
      </c>
      <c r="C9" s="8" t="n">
        <v>2.782</v>
      </c>
      <c r="D9" s="8" t="n">
        <v>3.339</v>
      </c>
      <c r="E9" s="8" t="n">
        <v>0.056</v>
      </c>
      <c r="F9" s="8" t="n">
        <v>416.955</v>
      </c>
      <c r="G9" s="8" t="n">
        <v>0.197</v>
      </c>
      <c r="H9" s="5" t="s">
        <v>14</v>
      </c>
    </row>
    <row r="10" customFormat="false" ht="15" hidden="false" customHeight="false" outlineLevel="0" collapsed="false">
      <c r="A10" s="1" t="n">
        <f aca="false">A9+1</f>
        <v>9</v>
      </c>
      <c r="B10" s="1" t="s">
        <v>10</v>
      </c>
      <c r="C10" s="1" t="n">
        <v>4.24083909397092</v>
      </c>
      <c r="D10" s="1" t="n">
        <v>2.47757258673407</v>
      </c>
      <c r="E10" s="1" t="n">
        <v>0.0848167818794185</v>
      </c>
      <c r="F10" s="1" t="n">
        <v>373.878629336704</v>
      </c>
      <c r="G10" s="1" t="n">
        <v>0.225826940012559</v>
      </c>
      <c r="H10" s="5" t="s">
        <v>15</v>
      </c>
    </row>
    <row r="11" customFormat="false" ht="15" hidden="false" customHeight="false" outlineLevel="0" collapsed="false">
      <c r="A11" s="1" t="n">
        <f aca="false">A10+1</f>
        <v>10</v>
      </c>
      <c r="B11" s="1" t="s">
        <v>16</v>
      </c>
      <c r="H11" s="5"/>
    </row>
    <row r="12" customFormat="false" ht="15" hidden="false" customHeight="false" outlineLevel="0" collapsed="false">
      <c r="A12" s="1" t="n">
        <f aca="false">A11+1</f>
        <v>11</v>
      </c>
      <c r="B12" s="1" t="s">
        <v>13</v>
      </c>
      <c r="C12" s="8" t="n">
        <v>6.897</v>
      </c>
      <c r="D12" s="8" t="n">
        <v>2.57</v>
      </c>
      <c r="E12" s="8" t="n">
        <v>0.138</v>
      </c>
      <c r="F12" s="8" t="n">
        <v>378.5</v>
      </c>
      <c r="G12" s="8" t="n">
        <v>0.087</v>
      </c>
      <c r="H12" s="5" t="s">
        <v>17</v>
      </c>
    </row>
    <row r="13" customFormat="false" ht="15" hidden="false" customHeight="false" outlineLevel="0" collapsed="false">
      <c r="A13" s="1" t="n">
        <f aca="false">A12+1</f>
        <v>12</v>
      </c>
      <c r="B13" s="1" t="s">
        <v>8</v>
      </c>
      <c r="H13" s="5"/>
    </row>
    <row r="14" customFormat="false" ht="15" hidden="false" customHeight="false" outlineLevel="0" collapsed="false">
      <c r="A14" s="1" t="n">
        <f aca="false">A13+1</f>
        <v>13</v>
      </c>
      <c r="B14" s="1" t="s">
        <v>16</v>
      </c>
      <c r="C14" s="8" t="n">
        <v>6.654</v>
      </c>
      <c r="D14" s="8" t="n">
        <v>2.523</v>
      </c>
      <c r="E14" s="8" t="n">
        <v>0.133</v>
      </c>
      <c r="F14" s="8" t="n">
        <v>376.164</v>
      </c>
      <c r="G14" s="8" t="n">
        <v>0.166</v>
      </c>
      <c r="H14" s="5" t="s">
        <v>18</v>
      </c>
    </row>
    <row r="15" customFormat="false" ht="15" hidden="false" customHeight="false" outlineLevel="0" collapsed="false">
      <c r="A15" s="1" t="n">
        <f aca="false">A14+1</f>
        <v>14</v>
      </c>
      <c r="B15" s="1" t="s">
        <v>10</v>
      </c>
      <c r="C15" s="1" t="n">
        <v>1.65</v>
      </c>
      <c r="D15" s="1" t="n">
        <v>2.83644</v>
      </c>
      <c r="E15" s="1" t="n">
        <v>0.033</v>
      </c>
      <c r="F15" s="1" t="n">
        <v>391.822</v>
      </c>
      <c r="G15" s="1" t="n">
        <v>0.22</v>
      </c>
      <c r="H15" s="7" t="s">
        <v>19</v>
      </c>
    </row>
    <row r="16" customFormat="false" ht="15" hidden="false" customHeight="false" outlineLevel="0" collapsed="false">
      <c r="A16" s="1" t="n">
        <f aca="false">A15+1</f>
        <v>15</v>
      </c>
      <c r="B16" s="1" t="s">
        <v>10</v>
      </c>
      <c r="C16" s="1" t="n">
        <v>0.99958643915504</v>
      </c>
      <c r="D16" s="1" t="n">
        <v>1.46403515763454</v>
      </c>
      <c r="E16" s="1" t="n">
        <v>0.0199917287831008</v>
      </c>
      <c r="F16" s="1" t="n">
        <v>323.201757881727</v>
      </c>
      <c r="G16" s="1" t="n">
        <v>0.0384352417367562</v>
      </c>
      <c r="H16" s="5" t="s">
        <v>20</v>
      </c>
    </row>
    <row r="17" customFormat="false" ht="15" hidden="false" customHeight="false" outlineLevel="0" collapsed="false">
      <c r="A17" s="1" t="n">
        <f aca="false">A16+1</f>
        <v>16</v>
      </c>
      <c r="B17" s="1" t="s">
        <v>9</v>
      </c>
      <c r="C17" s="1" t="n">
        <v>1.95898986275128</v>
      </c>
      <c r="D17" s="1" t="n">
        <v>2.71575227825572</v>
      </c>
      <c r="E17" s="1" t="n">
        <v>0.0391797972550257</v>
      </c>
      <c r="F17" s="1" t="n">
        <v>385.787613912786</v>
      </c>
      <c r="G17" s="1" t="n">
        <v>0.171681190023679</v>
      </c>
      <c r="H17" s="5" t="s">
        <v>21</v>
      </c>
    </row>
    <row r="18" customFormat="false" ht="15" hidden="false" customHeight="false" outlineLevel="0" collapsed="false">
      <c r="A18" s="1" t="n">
        <f aca="false">A17+1</f>
        <v>17</v>
      </c>
      <c r="B18" s="1" t="s">
        <v>16</v>
      </c>
      <c r="H18" s="5"/>
    </row>
    <row r="19" customFormat="false" ht="15" hidden="false" customHeight="false" outlineLevel="0" collapsed="false">
      <c r="A19" s="1" t="n">
        <f aca="false">A18+1</f>
        <v>18</v>
      </c>
      <c r="B19" s="1" t="s">
        <v>8</v>
      </c>
      <c r="H19" s="5"/>
    </row>
    <row r="20" customFormat="false" ht="15" hidden="false" customHeight="false" outlineLevel="0" collapsed="false">
      <c r="A20" s="1" t="n">
        <f aca="false">A19+1</f>
        <v>19</v>
      </c>
      <c r="B20" s="1" t="s">
        <v>10</v>
      </c>
      <c r="H20" s="5"/>
    </row>
    <row r="21" customFormat="false" ht="15" hidden="false" customHeight="false" outlineLevel="0" collapsed="false">
      <c r="A21" s="1" t="n">
        <f aca="false">A20+1</f>
        <v>20</v>
      </c>
      <c r="B21" s="1" t="s">
        <v>16</v>
      </c>
      <c r="C21" s="1" t="n">
        <v>0.315058689447332</v>
      </c>
      <c r="D21" s="1" t="n">
        <v>4.4330977883949</v>
      </c>
      <c r="E21" s="1" t="n">
        <v>0.00630117378894664</v>
      </c>
      <c r="F21" s="1" t="n">
        <v>471.654889419745</v>
      </c>
      <c r="G21" s="1" t="n">
        <v>0.0633161106344132</v>
      </c>
      <c r="H21" s="7" t="s">
        <v>22</v>
      </c>
    </row>
    <row r="22" customFormat="false" ht="15" hidden="false" customHeight="false" outlineLevel="0" collapsed="false">
      <c r="A22" s="1" t="n">
        <f aca="false">A21+1</f>
        <v>21</v>
      </c>
      <c r="B22" s="1" t="s">
        <v>13</v>
      </c>
      <c r="C22" s="1" t="n">
        <v>1.22539680568554</v>
      </c>
      <c r="D22" s="1" t="n">
        <v>3.8048727214135</v>
      </c>
      <c r="E22" s="1" t="n">
        <v>0.0245079361137108</v>
      </c>
      <c r="F22" s="1" t="n">
        <v>440.243636070675</v>
      </c>
      <c r="G22" s="1" t="n">
        <v>0.167865500389049</v>
      </c>
      <c r="H22" s="7" t="s">
        <v>23</v>
      </c>
    </row>
    <row r="23" customFormat="false" ht="15" hidden="false" customHeight="false" outlineLevel="0" collapsed="false">
      <c r="A23" s="1" t="n">
        <f aca="false">A22+1</f>
        <v>22</v>
      </c>
      <c r="B23" s="1" t="s">
        <v>9</v>
      </c>
      <c r="C23" s="1" t="n">
        <v>1.25059970266018</v>
      </c>
      <c r="D23" s="1" t="n">
        <v>3.27043048951259</v>
      </c>
      <c r="E23" s="1" t="n">
        <v>0.0250119940532037</v>
      </c>
      <c r="F23" s="1" t="n">
        <v>413.521524475629</v>
      </c>
      <c r="G23" s="1" t="n">
        <v>0.210710742915288</v>
      </c>
      <c r="H23" s="7" t="s">
        <v>24</v>
      </c>
    </row>
    <row r="24" customFormat="false" ht="15" hidden="false" customHeight="false" outlineLevel="0" collapsed="false">
      <c r="A24" s="1" t="n">
        <f aca="false">A23+1</f>
        <v>23</v>
      </c>
      <c r="B24" s="1" t="s">
        <v>16</v>
      </c>
      <c r="C24" s="1" t="n">
        <v>3.31313094064339</v>
      </c>
      <c r="D24" s="1" t="n">
        <v>2.50384110198381</v>
      </c>
      <c r="E24" s="1" t="n">
        <v>0.0662626188128678</v>
      </c>
      <c r="F24" s="1" t="n">
        <v>375.19205509919</v>
      </c>
      <c r="G24" s="1" t="n">
        <v>0.171925820258486</v>
      </c>
      <c r="H24" s="5" t="s">
        <v>25</v>
      </c>
    </row>
    <row r="25" customFormat="false" ht="15" hidden="false" customHeight="false" outlineLevel="0" collapsed="false">
      <c r="A25" s="1" t="n">
        <f aca="false">A24+1</f>
        <v>24</v>
      </c>
      <c r="B25" s="1" t="s">
        <v>13</v>
      </c>
      <c r="C25" s="1" t="n">
        <v>1.01689224832455</v>
      </c>
      <c r="D25" s="1" t="n">
        <v>2.86425015471777</v>
      </c>
      <c r="E25" s="1" t="n">
        <v>0.020337844966491</v>
      </c>
      <c r="F25" s="1" t="n">
        <v>393.212507735888</v>
      </c>
      <c r="G25" s="1" t="n">
        <v>0.158065373745723</v>
      </c>
      <c r="H25" s="5" t="s">
        <v>26</v>
      </c>
    </row>
    <row r="26" customFormat="false" ht="15" hidden="false" customHeight="false" outlineLevel="0" collapsed="false">
      <c r="A26" s="1" t="n">
        <f aca="false">A25+1</f>
        <v>25</v>
      </c>
      <c r="B26" s="1" t="s">
        <v>27</v>
      </c>
      <c r="C26" s="1" t="n">
        <v>1.84274165364575</v>
      </c>
      <c r="D26" s="1" t="n">
        <v>3.32939325342833</v>
      </c>
      <c r="E26" s="1" t="n">
        <v>0.0368548330729151</v>
      </c>
      <c r="F26" s="1" t="n">
        <v>416.469662671417</v>
      </c>
      <c r="G26" s="1" t="n">
        <v>0.16643587713991</v>
      </c>
      <c r="H26" s="9" t="s">
        <v>28</v>
      </c>
    </row>
    <row r="27" customFormat="false" ht="15" hidden="false" customHeight="false" outlineLevel="0" collapsed="false">
      <c r="A27" s="1" t="n">
        <f aca="false">A26+1</f>
        <v>26</v>
      </c>
      <c r="B27" s="1" t="s">
        <v>8</v>
      </c>
      <c r="C27" s="1" t="n">
        <v>2.78914620444511</v>
      </c>
      <c r="D27" s="1" t="n">
        <v>2.33940076682625</v>
      </c>
      <c r="E27" s="1" t="n">
        <v>0.0557829240889022</v>
      </c>
      <c r="F27" s="1" t="n">
        <v>366.970038341312</v>
      </c>
      <c r="G27" s="1" t="n">
        <v>0.167862052302509</v>
      </c>
      <c r="H27" s="5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13" activeCellId="0" sqref="I13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5" width="8.54"/>
    <col collapsed="false" customWidth="true" hidden="false" outlineLevel="0" max="3" min="2" style="5" width="8.71"/>
    <col collapsed="false" customWidth="true" hidden="false" outlineLevel="0" max="6" min="4" style="5" width="12.42"/>
    <col collapsed="false" customWidth="true" hidden="false" outlineLevel="0" max="7" min="7" style="5" width="42.86"/>
  </cols>
  <sheetData>
    <row r="1" customFormat="false" ht="13.8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customFormat="false" ht="13.8" hidden="false" customHeight="false" outlineLevel="0" collapsed="false">
      <c r="A2" s="5" t="s">
        <v>30</v>
      </c>
      <c r="D2" s="10"/>
      <c r="E2" s="10"/>
      <c r="F2" s="10"/>
    </row>
    <row r="3" customFormat="false" ht="13.8" hidden="false" customHeight="false" outlineLevel="0" collapsed="false">
      <c r="A3" s="5" t="s">
        <v>31</v>
      </c>
      <c r="D3" s="10"/>
      <c r="E3" s="10"/>
      <c r="F3" s="10"/>
    </row>
    <row r="4" customFormat="false" ht="13.8" hidden="false" customHeight="false" outlineLevel="0" collapsed="false">
      <c r="A4" s="5" t="s">
        <v>32</v>
      </c>
    </row>
    <row r="5" customFormat="false" ht="13.8" hidden="false" customHeight="false" outlineLevel="0" collapsed="false">
      <c r="A5" s="5" t="s">
        <v>33</v>
      </c>
      <c r="B5" s="1" t="n">
        <v>0.182778430139589</v>
      </c>
      <c r="C5" s="1" t="n">
        <v>4.79930977775088</v>
      </c>
      <c r="D5" s="1" t="n">
        <v>0.00365556860279178</v>
      </c>
      <c r="E5" s="1" t="n">
        <v>489.965488887544</v>
      </c>
      <c r="F5" s="1" t="n">
        <v>0.0459882824458235</v>
      </c>
      <c r="G5" s="5" t="s">
        <v>34</v>
      </c>
    </row>
    <row r="6" customFormat="false" ht="13.8" hidden="false" customHeight="false" outlineLevel="0" collapsed="false">
      <c r="A6" s="5" t="s">
        <v>35</v>
      </c>
      <c r="B6" s="1" t="n">
        <v>2.26596614775884</v>
      </c>
      <c r="C6" s="1" t="n">
        <v>2.19308960864848</v>
      </c>
      <c r="D6" s="1" t="n">
        <v>0.0453193229551767</v>
      </c>
      <c r="E6" s="1" t="n">
        <v>359.654480432424</v>
      </c>
      <c r="F6" s="1" t="n">
        <v>0.239138866944971</v>
      </c>
      <c r="G6" s="5" t="s">
        <v>34</v>
      </c>
    </row>
    <row r="7" customFormat="false" ht="13.8" hidden="false" customHeight="false" outlineLevel="0" collapsed="false">
      <c r="A7" s="5" t="s">
        <v>36</v>
      </c>
      <c r="B7" s="11"/>
      <c r="C7" s="11"/>
      <c r="D7" s="11"/>
      <c r="E7" s="11"/>
      <c r="F7" s="11"/>
    </row>
    <row r="8" customFormat="false" ht="13.8" hidden="false" customHeight="false" outlineLevel="0" collapsed="false">
      <c r="A8" s="5" t="s">
        <v>37</v>
      </c>
    </row>
    <row r="9" customFormat="false" ht="13.8" hidden="false" customHeight="false" outlineLevel="0" collapsed="false">
      <c r="A9" s="5" t="s">
        <v>38</v>
      </c>
      <c r="B9" s="11" t="n">
        <v>2.782</v>
      </c>
      <c r="C9" s="11" t="n">
        <v>3.339</v>
      </c>
      <c r="D9" s="11" t="n">
        <v>0.056</v>
      </c>
      <c r="E9" s="11" t="n">
        <v>416.955</v>
      </c>
      <c r="F9" s="11" t="n">
        <v>0.197</v>
      </c>
      <c r="G9" s="5" t="s">
        <v>34</v>
      </c>
    </row>
    <row r="10" customFormat="false" ht="13.8" hidden="false" customHeight="false" outlineLevel="0" collapsed="false">
      <c r="A10" s="5" t="s">
        <v>39</v>
      </c>
      <c r="B10" s="5" t="n">
        <v>4.24083909397092</v>
      </c>
      <c r="C10" s="5" t="n">
        <v>2.47757258673407</v>
      </c>
      <c r="D10" s="5" t="n">
        <v>0.0848167818794185</v>
      </c>
      <c r="E10" s="5" t="n">
        <v>373.878629336704</v>
      </c>
      <c r="F10" s="5" t="n">
        <v>0.225826940012559</v>
      </c>
      <c r="G10" s="5" t="s">
        <v>34</v>
      </c>
    </row>
    <row r="11" customFormat="false" ht="13.8" hidden="false" customHeight="false" outlineLevel="0" collapsed="false">
      <c r="A11" s="5" t="s">
        <v>40</v>
      </c>
    </row>
    <row r="12" customFormat="false" ht="13.8" hidden="false" customHeight="false" outlineLevel="0" collapsed="false">
      <c r="A12" s="5" t="s">
        <v>41</v>
      </c>
      <c r="B12" s="11" t="n">
        <v>6.897</v>
      </c>
      <c r="C12" s="11" t="n">
        <v>2.57</v>
      </c>
      <c r="D12" s="11" t="n">
        <v>0.138</v>
      </c>
      <c r="E12" s="11" t="n">
        <v>378.5</v>
      </c>
      <c r="F12" s="11" t="n">
        <v>0.087</v>
      </c>
      <c r="G12" s="5" t="s">
        <v>34</v>
      </c>
    </row>
    <row r="13" customFormat="false" ht="13.8" hidden="false" customHeight="false" outlineLevel="0" collapsed="false">
      <c r="A13" s="5" t="s">
        <v>42</v>
      </c>
    </row>
    <row r="14" customFormat="false" ht="13.8" hidden="false" customHeight="false" outlineLevel="0" collapsed="false">
      <c r="A14" s="5" t="s">
        <v>43</v>
      </c>
      <c r="B14" s="11" t="n">
        <v>6.654</v>
      </c>
      <c r="C14" s="11" t="n">
        <v>2.523</v>
      </c>
      <c r="D14" s="11" t="n">
        <v>0.133</v>
      </c>
      <c r="E14" s="11" t="n">
        <v>376.164</v>
      </c>
      <c r="F14" s="11" t="n">
        <v>0.166</v>
      </c>
      <c r="G14" s="5" t="s">
        <v>34</v>
      </c>
    </row>
    <row r="15" customFormat="false" ht="13.8" hidden="false" customHeight="false" outlineLevel="0" collapsed="false">
      <c r="A15" s="5" t="s">
        <v>44</v>
      </c>
      <c r="B15" s="1" t="n">
        <v>1.65</v>
      </c>
      <c r="C15" s="1" t="n">
        <v>2.83644</v>
      </c>
      <c r="D15" s="1" t="n">
        <v>0.033</v>
      </c>
      <c r="E15" s="1" t="n">
        <v>391.822</v>
      </c>
      <c r="F15" s="1" t="n">
        <v>0.22</v>
      </c>
      <c r="G15" s="5" t="s">
        <v>34</v>
      </c>
    </row>
    <row r="16" customFormat="false" ht="13.8" hidden="false" customHeight="false" outlineLevel="0" collapsed="false">
      <c r="A16" s="5" t="s">
        <v>45</v>
      </c>
      <c r="B16" s="5" t="n">
        <v>0.99958643915504</v>
      </c>
      <c r="C16" s="5" t="n">
        <v>1.46403515763454</v>
      </c>
      <c r="D16" s="5" t="n">
        <v>0.0199917287831008</v>
      </c>
      <c r="E16" s="5" t="n">
        <v>323.201757881727</v>
      </c>
      <c r="F16" s="5" t="n">
        <v>0.0384352417367562</v>
      </c>
      <c r="G16" s="5" t="s">
        <v>34</v>
      </c>
    </row>
    <row r="17" customFormat="false" ht="13.8" hidden="false" customHeight="false" outlineLevel="0" collapsed="false">
      <c r="A17" s="5" t="s">
        <v>46</v>
      </c>
      <c r="B17" s="5" t="n">
        <v>1.95898986275128</v>
      </c>
      <c r="C17" s="5" t="n">
        <v>2.71575227825572</v>
      </c>
      <c r="D17" s="5" t="n">
        <v>0.0391797972550257</v>
      </c>
      <c r="E17" s="5" t="n">
        <v>385.787613912786</v>
      </c>
      <c r="F17" s="5" t="n">
        <v>0.171681190023679</v>
      </c>
      <c r="G17" s="5" t="s">
        <v>34</v>
      </c>
    </row>
    <row r="18" customFormat="false" ht="13.8" hidden="false" customHeight="false" outlineLevel="0" collapsed="false">
      <c r="A18" s="5" t="s">
        <v>47</v>
      </c>
    </row>
    <row r="19" customFormat="false" ht="13.8" hidden="false" customHeight="false" outlineLevel="0" collapsed="false">
      <c r="A19" s="5" t="s">
        <v>48</v>
      </c>
    </row>
    <row r="20" customFormat="false" ht="13.8" hidden="false" customHeight="false" outlineLevel="0" collapsed="false">
      <c r="A20" s="5" t="s">
        <v>49</v>
      </c>
    </row>
    <row r="21" customFormat="false" ht="13.8" hidden="false" customHeight="false" outlineLevel="0" collapsed="false">
      <c r="A21" s="5" t="s">
        <v>50</v>
      </c>
      <c r="B21" s="1" t="n">
        <v>0.315058689447332</v>
      </c>
      <c r="C21" s="1" t="n">
        <v>4.4330977883949</v>
      </c>
      <c r="D21" s="1" t="n">
        <v>0.00630117378894664</v>
      </c>
      <c r="E21" s="1" t="n">
        <v>471.654889419745</v>
      </c>
      <c r="F21" s="1" t="n">
        <v>0.0633161106344132</v>
      </c>
      <c r="G21" s="5" t="s">
        <v>34</v>
      </c>
    </row>
    <row r="22" customFormat="false" ht="13.8" hidden="false" customHeight="false" outlineLevel="0" collapsed="false">
      <c r="A22" s="5" t="s">
        <v>51</v>
      </c>
      <c r="B22" s="1" t="n">
        <v>1.22539680568554</v>
      </c>
      <c r="C22" s="1" t="n">
        <v>3.8048727214135</v>
      </c>
      <c r="D22" s="1" t="n">
        <v>0.0245079361137108</v>
      </c>
      <c r="E22" s="1" t="n">
        <v>440.243636070675</v>
      </c>
      <c r="F22" s="1" t="n">
        <v>0.167865500389049</v>
      </c>
      <c r="G22" s="5" t="s">
        <v>34</v>
      </c>
    </row>
    <row r="23" customFormat="false" ht="13.8" hidden="false" customHeight="false" outlineLevel="0" collapsed="false">
      <c r="A23" s="5" t="s">
        <v>52</v>
      </c>
      <c r="B23" s="1" t="n">
        <v>1.25059970266018</v>
      </c>
      <c r="C23" s="1" t="n">
        <v>3.27043048951259</v>
      </c>
      <c r="D23" s="1" t="n">
        <v>0.0250119940532037</v>
      </c>
      <c r="E23" s="1" t="n">
        <v>413.521524475629</v>
      </c>
      <c r="F23" s="1" t="n">
        <v>0.210710742915288</v>
      </c>
      <c r="G23" s="5" t="s">
        <v>34</v>
      </c>
    </row>
    <row r="24" customFormat="false" ht="13.8" hidden="false" customHeight="false" outlineLevel="0" collapsed="false">
      <c r="A24" s="5" t="s">
        <v>53</v>
      </c>
      <c r="B24" s="5" t="n">
        <v>3.31313094064339</v>
      </c>
      <c r="C24" s="5" t="n">
        <v>2.50384110198381</v>
      </c>
      <c r="D24" s="5" t="n">
        <v>0.0662626188128678</v>
      </c>
      <c r="E24" s="5" t="n">
        <v>375.19205509919</v>
      </c>
      <c r="F24" s="5" t="n">
        <v>0.171925820258486</v>
      </c>
      <c r="G24" s="5" t="s">
        <v>34</v>
      </c>
    </row>
    <row r="25" customFormat="false" ht="13.8" hidden="false" customHeight="false" outlineLevel="0" collapsed="false">
      <c r="A25" s="5" t="s">
        <v>54</v>
      </c>
      <c r="B25" s="5" t="n">
        <v>1.01689224832455</v>
      </c>
      <c r="C25" s="5" t="n">
        <v>2.86425015471777</v>
      </c>
      <c r="D25" s="5" t="n">
        <v>0.020337844966491</v>
      </c>
      <c r="E25" s="5" t="n">
        <v>393.212507735888</v>
      </c>
      <c r="F25" s="5" t="n">
        <v>0.158065373745723</v>
      </c>
      <c r="G25" s="5" t="s">
        <v>34</v>
      </c>
    </row>
    <row r="26" customFormat="false" ht="13.8" hidden="false" customHeight="false" outlineLevel="0" collapsed="false">
      <c r="A26" s="5" t="s">
        <v>55</v>
      </c>
      <c r="B26" s="5" t="n">
        <v>1.84274165364575</v>
      </c>
      <c r="C26" s="5" t="n">
        <v>3.32939325342833</v>
      </c>
      <c r="D26" s="5" t="n">
        <v>0.0368548330729151</v>
      </c>
      <c r="E26" s="5" t="n">
        <v>416.469662671417</v>
      </c>
      <c r="F26" s="5" t="n">
        <v>0.16643587713991</v>
      </c>
      <c r="G26" s="5" t="s">
        <v>34</v>
      </c>
    </row>
    <row r="27" customFormat="false" ht="13.8" hidden="false" customHeight="false" outlineLevel="0" collapsed="false">
      <c r="A27" s="5" t="s">
        <v>56</v>
      </c>
      <c r="B27" s="5" t="n">
        <v>2.78914620444511</v>
      </c>
      <c r="C27" s="5" t="n">
        <v>2.33940076682625</v>
      </c>
      <c r="D27" s="5" t="n">
        <v>0.0557829240889022</v>
      </c>
      <c r="E27" s="5" t="n">
        <v>366.970038341312</v>
      </c>
      <c r="F27" s="5" t="n">
        <v>0.167862052302509</v>
      </c>
      <c r="G27" s="5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20" activeCellId="0" sqref="G20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5" width="8.54"/>
    <col collapsed="false" customWidth="true" hidden="false" outlineLevel="0" max="3" min="2" style="5" width="8.71"/>
    <col collapsed="false" customWidth="true" hidden="false" outlineLevel="0" max="6" min="4" style="5" width="12.42"/>
    <col collapsed="false" customWidth="true" hidden="false" outlineLevel="0" max="7" min="7" style="5" width="42.86"/>
  </cols>
  <sheetData>
    <row r="1" customFormat="false" ht="13.8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customFormat="false" ht="13.8" hidden="false" customHeight="false" outlineLevel="0" collapsed="false">
      <c r="A2" s="5" t="s">
        <v>30</v>
      </c>
      <c r="D2" s="10"/>
      <c r="E2" s="10"/>
      <c r="F2" s="10"/>
    </row>
    <row r="3" customFormat="false" ht="13.8" hidden="false" customHeight="false" outlineLevel="0" collapsed="false">
      <c r="A3" s="5" t="s">
        <v>31</v>
      </c>
      <c r="D3" s="10"/>
      <c r="E3" s="10"/>
      <c r="F3" s="10"/>
    </row>
    <row r="4" customFormat="false" ht="13.8" hidden="false" customHeight="false" outlineLevel="0" collapsed="false">
      <c r="A4" s="5" t="s">
        <v>32</v>
      </c>
    </row>
    <row r="5" customFormat="false" ht="13.8" hidden="false" customHeight="false" outlineLevel="0" collapsed="false">
      <c r="A5" s="5" t="s">
        <v>33</v>
      </c>
      <c r="B5" s="1"/>
      <c r="C5" s="1"/>
      <c r="D5" s="1"/>
      <c r="E5" s="1"/>
      <c r="F5" s="1"/>
    </row>
    <row r="6" customFormat="false" ht="13.8" hidden="false" customHeight="false" outlineLevel="0" collapsed="false">
      <c r="A6" s="5" t="s">
        <v>35</v>
      </c>
      <c r="B6" s="1"/>
      <c r="C6" s="1"/>
      <c r="D6" s="1"/>
      <c r="E6" s="1"/>
      <c r="F6" s="1"/>
    </row>
    <row r="7" customFormat="false" ht="13.8" hidden="false" customHeight="false" outlineLevel="0" collapsed="false">
      <c r="A7" s="5" t="s">
        <v>36</v>
      </c>
      <c r="B7" s="11"/>
      <c r="C7" s="11"/>
      <c r="D7" s="11"/>
      <c r="E7" s="11"/>
      <c r="F7" s="11"/>
    </row>
    <row r="8" customFormat="false" ht="13.8" hidden="false" customHeight="false" outlineLevel="0" collapsed="false">
      <c r="A8" s="5" t="s">
        <v>37</v>
      </c>
    </row>
    <row r="9" customFormat="false" ht="13.8" hidden="false" customHeight="false" outlineLevel="0" collapsed="false">
      <c r="A9" s="5" t="s">
        <v>38</v>
      </c>
      <c r="B9" s="11" t="n">
        <v>2.782</v>
      </c>
      <c r="C9" s="11" t="n">
        <v>3.339</v>
      </c>
      <c r="D9" s="11" t="n">
        <v>0.056</v>
      </c>
      <c r="E9" s="11" t="n">
        <v>416.955</v>
      </c>
      <c r="F9" s="11" t="n">
        <v>0.197</v>
      </c>
      <c r="G9" s="5" t="s">
        <v>34</v>
      </c>
    </row>
    <row r="10" customFormat="false" ht="13.8" hidden="false" customHeight="false" outlineLevel="0" collapsed="false">
      <c r="A10" s="5" t="s">
        <v>39</v>
      </c>
      <c r="B10" s="5" t="n">
        <v>4.24083909397092</v>
      </c>
      <c r="C10" s="5" t="n">
        <v>2.47757258673407</v>
      </c>
      <c r="D10" s="5" t="n">
        <v>0.0848167818794185</v>
      </c>
      <c r="E10" s="5" t="n">
        <v>373.878629336704</v>
      </c>
      <c r="F10" s="5" t="n">
        <v>0.225826940012559</v>
      </c>
      <c r="G10" s="5" t="s">
        <v>34</v>
      </c>
    </row>
    <row r="11" customFormat="false" ht="13.8" hidden="false" customHeight="false" outlineLevel="0" collapsed="false">
      <c r="A11" s="5" t="s">
        <v>40</v>
      </c>
    </row>
    <row r="12" customFormat="false" ht="13.8" hidden="false" customHeight="false" outlineLevel="0" collapsed="false">
      <c r="A12" s="5" t="s">
        <v>41</v>
      </c>
      <c r="B12" s="11" t="n">
        <v>6.897</v>
      </c>
      <c r="C12" s="11" t="n">
        <v>2.57</v>
      </c>
      <c r="D12" s="11" t="n">
        <v>0.138</v>
      </c>
      <c r="E12" s="11" t="n">
        <v>378.5</v>
      </c>
      <c r="F12" s="11" t="n">
        <v>0.087</v>
      </c>
      <c r="G12" s="5" t="s">
        <v>34</v>
      </c>
    </row>
    <row r="13" customFormat="false" ht="13.8" hidden="false" customHeight="false" outlineLevel="0" collapsed="false">
      <c r="A13" s="5" t="s">
        <v>42</v>
      </c>
    </row>
    <row r="14" customFormat="false" ht="13.8" hidden="false" customHeight="false" outlineLevel="0" collapsed="false">
      <c r="A14" s="5" t="s">
        <v>43</v>
      </c>
      <c r="B14" s="11" t="n">
        <v>6.654</v>
      </c>
      <c r="C14" s="11" t="n">
        <v>2.523</v>
      </c>
      <c r="D14" s="11" t="n">
        <v>0.133</v>
      </c>
      <c r="E14" s="11" t="n">
        <v>376.164</v>
      </c>
      <c r="F14" s="11" t="n">
        <v>0.166</v>
      </c>
      <c r="G14" s="5" t="s">
        <v>34</v>
      </c>
    </row>
    <row r="15" customFormat="false" ht="13.8" hidden="false" customHeight="false" outlineLevel="0" collapsed="false">
      <c r="A15" s="5" t="s">
        <v>44</v>
      </c>
      <c r="B15" s="1"/>
      <c r="C15" s="1"/>
      <c r="D15" s="1"/>
      <c r="E15" s="1"/>
      <c r="F15" s="1"/>
    </row>
    <row r="16" customFormat="false" ht="13.8" hidden="false" customHeight="false" outlineLevel="0" collapsed="false">
      <c r="A16" s="5" t="s">
        <v>45</v>
      </c>
      <c r="B16" s="5" t="n">
        <v>0.99958643915504</v>
      </c>
      <c r="C16" s="5" t="n">
        <v>1.46403515763454</v>
      </c>
      <c r="D16" s="5" t="n">
        <v>0.0199917287831008</v>
      </c>
      <c r="E16" s="5" t="n">
        <v>323.201757881727</v>
      </c>
      <c r="F16" s="5" t="n">
        <v>0.0384352417367562</v>
      </c>
      <c r="G16" s="5" t="s">
        <v>34</v>
      </c>
    </row>
    <row r="17" customFormat="false" ht="13.8" hidden="false" customHeight="false" outlineLevel="0" collapsed="false">
      <c r="A17" s="5" t="s">
        <v>46</v>
      </c>
      <c r="B17" s="5" t="n">
        <v>1.95898986275128</v>
      </c>
      <c r="C17" s="5" t="n">
        <v>2.71575227825572</v>
      </c>
      <c r="D17" s="5" t="n">
        <v>0.0391797972550257</v>
      </c>
      <c r="E17" s="5" t="n">
        <v>385.787613912786</v>
      </c>
      <c r="F17" s="5" t="n">
        <v>0.171681190023679</v>
      </c>
      <c r="G17" s="5" t="s">
        <v>34</v>
      </c>
    </row>
    <row r="18" customFormat="false" ht="13.8" hidden="false" customHeight="false" outlineLevel="0" collapsed="false">
      <c r="A18" s="5" t="s">
        <v>47</v>
      </c>
    </row>
    <row r="19" customFormat="false" ht="13.8" hidden="false" customHeight="false" outlineLevel="0" collapsed="false">
      <c r="A19" s="5" t="s">
        <v>48</v>
      </c>
    </row>
    <row r="20" customFormat="false" ht="13.8" hidden="false" customHeight="false" outlineLevel="0" collapsed="false">
      <c r="A20" s="5" t="s">
        <v>49</v>
      </c>
    </row>
    <row r="21" customFormat="false" ht="13.8" hidden="false" customHeight="false" outlineLevel="0" collapsed="false">
      <c r="A21" s="5" t="s">
        <v>50</v>
      </c>
      <c r="B21" s="1"/>
      <c r="C21" s="1"/>
      <c r="D21" s="1"/>
      <c r="E21" s="1"/>
      <c r="F21" s="1"/>
    </row>
    <row r="22" customFormat="false" ht="13.8" hidden="false" customHeight="false" outlineLevel="0" collapsed="false">
      <c r="A22" s="5" t="s">
        <v>51</v>
      </c>
      <c r="B22" s="1"/>
      <c r="C22" s="1"/>
      <c r="D22" s="1"/>
      <c r="E22" s="1"/>
      <c r="F22" s="1"/>
    </row>
    <row r="23" customFormat="false" ht="13.8" hidden="false" customHeight="false" outlineLevel="0" collapsed="false">
      <c r="A23" s="5" t="s">
        <v>52</v>
      </c>
      <c r="B23" s="1"/>
      <c r="C23" s="1"/>
      <c r="D23" s="1"/>
      <c r="E23" s="1"/>
      <c r="F23" s="1"/>
    </row>
    <row r="24" customFormat="false" ht="13.8" hidden="false" customHeight="false" outlineLevel="0" collapsed="false">
      <c r="A24" s="5" t="s">
        <v>53</v>
      </c>
      <c r="B24" s="5" t="n">
        <v>3.31313094064339</v>
      </c>
      <c r="C24" s="5" t="n">
        <v>2.50384110198381</v>
      </c>
      <c r="D24" s="5" t="n">
        <v>0.0662626188128678</v>
      </c>
      <c r="E24" s="5" t="n">
        <v>375.19205509919</v>
      </c>
      <c r="F24" s="5" t="n">
        <v>0.171925820258486</v>
      </c>
      <c r="G24" s="5" t="s">
        <v>34</v>
      </c>
    </row>
    <row r="25" customFormat="false" ht="13.8" hidden="false" customHeight="false" outlineLevel="0" collapsed="false">
      <c r="A25" s="5" t="s">
        <v>54</v>
      </c>
      <c r="B25" s="5" t="n">
        <v>1.01689224832455</v>
      </c>
      <c r="C25" s="5" t="n">
        <v>2.86425015471777</v>
      </c>
      <c r="D25" s="5" t="n">
        <v>0.020337844966491</v>
      </c>
      <c r="E25" s="5" t="n">
        <v>393.212507735888</v>
      </c>
      <c r="F25" s="5" t="n">
        <v>0.158065373745723</v>
      </c>
      <c r="G25" s="5" t="s">
        <v>34</v>
      </c>
    </row>
    <row r="26" customFormat="false" ht="13.8" hidden="false" customHeight="false" outlineLevel="0" collapsed="false">
      <c r="A26" s="5" t="s">
        <v>55</v>
      </c>
      <c r="B26" s="5" t="n">
        <v>1.84274165364575</v>
      </c>
      <c r="C26" s="5" t="n">
        <v>3.32939325342833</v>
      </c>
      <c r="D26" s="5" t="n">
        <v>0.0368548330729151</v>
      </c>
      <c r="E26" s="5" t="n">
        <v>416.469662671417</v>
      </c>
      <c r="F26" s="5" t="n">
        <v>0.16643587713991</v>
      </c>
      <c r="G26" s="5" t="s">
        <v>34</v>
      </c>
    </row>
    <row r="27" customFormat="false" ht="13.8" hidden="false" customHeight="false" outlineLevel="0" collapsed="false">
      <c r="A27" s="5" t="s">
        <v>56</v>
      </c>
      <c r="B27" s="5" t="n">
        <v>2.78914620444511</v>
      </c>
      <c r="C27" s="5" t="n">
        <v>2.33940076682625</v>
      </c>
      <c r="D27" s="5" t="n">
        <v>0.0557829240889022</v>
      </c>
      <c r="E27" s="5" t="n">
        <v>366.970038341312</v>
      </c>
      <c r="F27" s="5" t="n">
        <v>0.167862052302509</v>
      </c>
      <c r="G27" s="5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2026-07-20T13:50:30Z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