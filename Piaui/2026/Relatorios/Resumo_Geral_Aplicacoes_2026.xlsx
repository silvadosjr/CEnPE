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079878400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geral" sheetId="1" r:id="Ra3c85770e46a4ef7"/>
    <x:sheet xmlns:r="http://schemas.openxmlformats.org/officeDocument/2006/relationships" name="Base numérica" sheetId="2" r:id="R3908ce712d9c4b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"/>
    <x:numFmt numFmtId="203" formatCode="0.00"/>
    <x:numFmt numFmtId="204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203748"/>
      <x:name val="Carlito"/>
    </x:font>
    <x:font>
      <x:b/>
      <x:sz val="10"/>
      <x:color rgb="FF203748"/>
      <x:name val="Carlito"/>
    </x:font>
    <x:font>
      <x:sz val="10"/>
      <x:color rgb="FF202124"/>
      <x:name val="Carlito"/>
    </x:font>
    <x:font>
      <x:i/>
      <x:sz val="9"/>
      <x:color rgb="FF6A4B00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03748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8FBFE"/>
      </x:patternFill>
    </x:fill>
    <x:fill>
      <x:patternFill patternType="solid">
        <x:fgColor rgb="FFFFFDF7"/>
      </x:patternFill>
    </x:fill>
    <x:fill>
      <x:patternFill patternType="solid">
        <x:fgColor rgb="FFFFF4CE"/>
      </x:patternFill>
    </x:fill>
  </x:fills>
  <x:borders count="14">
    <x:border/>
    <x:border>
      <x:left style="thin">
        <x:color rgb="FF7A8591"/>
      </x:left>
      <x:right style="thin">
        <x:color rgb="FF7A8591"/>
      </x:right>
      <x:top style="thin">
        <x:color rgb="FF7A8591"/>
      </x:top>
      <x:bottom style="thin">
        <x:color rgb="FF7A8591"/>
      </x:bottom>
    </x:border>
    <x:border>
      <x:left style="thin">
        <x:color rgb="FF7A8591"/>
      </x:left>
      <x:right style="thin">
        <x:color rgb="FFD9DEE5"/>
      </x:right>
      <x:top style="thin">
        <x:color rgb="FF7A8591"/>
      </x:top>
      <x:bottom style="thin">
        <x:color rgb="FFD9DEE5"/>
      </x:bottom>
    </x:border>
    <x:border>
      <x:left style="thin">
        <x:color rgb="FFD9DEE5"/>
      </x:left>
      <x:right style="thin">
        <x:color rgb="FFD9DEE5"/>
      </x:right>
      <x:top style="thin">
        <x:color rgb="FF7A8591"/>
      </x:top>
      <x:bottom style="thin">
        <x:color rgb="FFD9DEE5"/>
      </x:bottom>
    </x:border>
    <x:border>
      <x:left style="thin">
        <x:color rgb="FFD9DEE5"/>
      </x:left>
      <x:right style="thin">
        <x:color rgb="FF7A8591"/>
      </x:right>
      <x:top style="thin">
        <x:color rgb="FF7A8591"/>
      </x:top>
      <x:bottom style="thin">
        <x:color rgb="FFD9DEE5"/>
      </x:bottom>
    </x:border>
    <x:border>
      <x:left style="thin">
        <x:color rgb="FF7A8591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right style="thin">
        <x:color rgb="FF7A8591"/>
      </x:right>
      <x:top style="thin">
        <x:color rgb="FFD9DEE5"/>
      </x:top>
      <x:bottom style="thin">
        <x:color rgb="FFD9DEE5"/>
      </x:bottom>
    </x:border>
    <x:border>
      <x:left style="thin">
        <x:color rgb="FF7A8591"/>
      </x:left>
      <x:right style="thin">
        <x:color rgb="FFD9DEE5"/>
      </x:right>
      <x:top style="thin">
        <x:color rgb="FFD9DEE5"/>
      </x:top>
      <x:bottom style="thin">
        <x:color rgb="FF7A8591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7A8591"/>
      </x:bottom>
    </x:border>
    <x:border>
      <x:left style="thin">
        <x:color rgb="FFD9DEE5"/>
      </x:left>
      <x:right style="thin">
        <x:color rgb="FF7A8591"/>
      </x:right>
      <x:top style="thin">
        <x:color rgb="FFD9DEE5"/>
      </x:top>
      <x:bottom style="thin">
        <x:color rgb="FF7A8591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left" vertical="center"/>
    </x:xf>
    <x:xf numFmtId="0" fontId="4" fillId="0" borderId="3" xfId="0" applyNumberFormat="1" applyFont="1" applyFill="1" applyBorder="1" applyAlignment="1">
      <x:alignment horizontal="left" vertical="center"/>
    </x:xf>
    <x:xf numFmtId="0" fontId="4" fillId="0" borderId="5" xfId="0" applyNumberFormat="1" applyFont="1" applyFill="1" applyBorder="1" applyAlignment="1">
      <x:alignment horizontal="left" vertical="center"/>
    </x:xf>
    <x:xf numFmtId="0" fontId="4" fillId="0" borderId="6" xfId="0" applyNumberFormat="1" applyFont="1" applyFill="1" applyBorder="1" applyAlignment="1">
      <x:alignment horizontal="left" vertical="center"/>
    </x:xf>
    <x:xf numFmtId="0" fontId="4" fillId="0" borderId="8" xfId="0" applyNumberFormat="1" applyFont="1" applyFill="1" applyBorder="1" applyAlignment="1">
      <x:alignment horizontal="left" vertical="center"/>
    </x:xf>
    <x:xf numFmtId="0" fontId="4" fillId="0" borderId="9" xfId="0" applyNumberFormat="1" applyFont="1" applyFill="1" applyBorder="1" applyAlignment="1">
      <x:alignment horizontal="left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200" fontId="4" fillId="0" borderId="3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0" fontId="4" fillId="0" borderId="9" xfId="0" applyNumberFormat="1" applyFont="1" applyFill="1" applyBorder="1" applyAlignment="1">
      <x:alignment horizontal="center" vertical="center"/>
    </x:xf>
    <x:xf numFmtId="201" fontId="4" fillId="0" borderId="3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201" fontId="4" fillId="0" borderId="9" xfId="0" applyNumberFormat="1" applyFont="1" applyFill="1" applyBorder="1" applyAlignment="1">
      <x:alignment horizontal="center" vertical="center"/>
    </x:xf>
    <x:xf numFmtId="202" fontId="4" fillId="0" borderId="3" xfId="0" applyNumberFormat="1" applyFont="1" applyFill="1" applyBorder="1" applyAlignment="1">
      <x:alignment horizontal="center" vertical="center"/>
    </x:xf>
    <x:xf numFmtId="202" fontId="4" fillId="0" borderId="6" xfId="0" applyNumberFormat="1" applyFont="1" applyFill="1" applyBorder="1" applyAlignment="1">
      <x:alignment horizontal="center" vertical="center"/>
    </x:xf>
    <x:xf numFmtId="202" fontId="4" fillId="0" borderId="9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left" vertical="center"/>
    </x:xf>
    <x:xf numFmtId="0" fontId="4" fillId="5" borderId="3" xfId="0" applyNumberFormat="1" applyFont="1" applyFill="1" applyBorder="1" applyAlignment="1">
      <x:alignment horizontal="left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2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left" vertical="center"/>
    </x:xf>
    <x:xf numFmtId="0" fontId="4" fillId="5" borderId="6" xfId="0" applyNumberFormat="1" applyFont="1" applyFill="1" applyBorder="1" applyAlignment="1">
      <x:alignment horizontal="left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2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left" vertical="center"/>
    </x:xf>
    <x:xf numFmtId="0" fontId="4" fillId="6" borderId="6" xfId="0" applyNumberFormat="1" applyFont="1" applyFill="1" applyBorder="1" applyAlignment="1">
      <x:alignment horizontal="left" vertical="center"/>
    </x:xf>
    <x:xf numFmtId="200" fontId="4" fillId="6" borderId="6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6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4" fillId="6" borderId="7" xfId="0" applyNumberFormat="1" applyFont="1" applyFill="1" applyBorder="1" applyAlignment="1">
      <x:alignment horizontal="center" vertical="center"/>
    </x:xf>
    <x:xf numFmtId="0" fontId="4" fillId="6" borderId="8" xfId="0" applyNumberFormat="1" applyFont="1" applyFill="1" applyBorder="1" applyAlignment="1">
      <x:alignment horizontal="left" vertical="center"/>
    </x:xf>
    <x:xf numFmtId="0" fontId="4" fillId="6" borderId="9" xfId="0" applyNumberFormat="1" applyFont="1" applyFill="1" applyBorder="1" applyAlignment="1">
      <x:alignment horizontal="left" vertical="center"/>
    </x:xf>
    <x:xf numFmtId="200" fontId="4" fillId="6" borderId="9" xfId="0" applyNumberFormat="1" applyFont="1" applyFill="1" applyBorder="1" applyAlignment="1">
      <x:alignment horizontal="center" vertical="center"/>
    </x:xf>
    <x:xf numFmtId="0" fontId="4" fillId="6" borderId="9" xfId="0" applyNumberFormat="1" applyFont="1" applyFill="1" applyBorder="1" applyAlignment="1">
      <x:alignment horizontal="center" vertical="center"/>
    </x:xf>
    <x:xf numFmtId="201" fontId="4" fillId="6" borderId="9" xfId="0" applyNumberFormat="1" applyFont="1" applyFill="1" applyBorder="1" applyAlignment="1">
      <x:alignment horizontal="center" vertical="center"/>
    </x:xf>
    <x:xf numFmtId="202" fontId="4" fillId="6" borderId="9" xfId="0" applyNumberFormat="1" applyFont="1" applyFill="1" applyBorder="1" applyAlignment="1">
      <x:alignment horizontal="center" vertical="center"/>
    </x:xf>
    <x:xf numFmtId="0" fontId="4" fillId="6" borderId="1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1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horizontal="left" wrapText="1"/>
    </x:xf>
    <x:xf numFmtId="0" fontId="5" fillId="7" borderId="12" xfId="0" applyNumberFormat="1" applyFont="1" applyFill="1" applyBorder="1" applyAlignment="1">
      <x:alignment horizontal="left" wrapText="1"/>
    </x:xf>
    <x:xf numFmtId="0" fontId="5" fillId="7" borderId="13" xfId="0" applyNumberFormat="1" applyFont="1" applyFill="1" applyBorder="1" applyAlignment="1">
      <x:alignment horizontal="left" wrapText="1"/>
    </x:xf>
    <x:xf numFmtId="0" fontId="5" fillId="7" borderId="11" xfId="0" applyNumberFormat="1" applyFont="1" applyFill="1" applyBorder="1" applyAlignment="1">
      <x:alignment horizontal="left" vertical="center" wrapText="1"/>
    </x:xf>
    <x:xf numFmtId="0" fontId="5" fillId="7" borderId="12" xfId="0" applyNumberFormat="1" applyFont="1" applyFill="1" applyBorder="1" applyAlignment="1">
      <x:alignment horizontal="left" vertical="center" wrapText="1"/>
    </x:xf>
    <x:xf numFmtId="0" fontId="5" fillId="7" borderId="13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left"/>
    </x:xf>
    <x:xf numFmtId="200" fontId="0" fillId="0" borderId="6" xfId="0" applyNumberFormat="1" applyFont="1" applyFill="1" applyBorder="1" applyAlignment="1">
      <x:alignment horizontal="center"/>
    </x:xf>
    <x:xf numFmtId="203" fontId="0" fillId="0" borderId="6" xfId="0" applyNumberFormat="1" applyFont="1" applyFill="1" applyBorder="1" applyAlignment="1">
      <x:alignment horizontal="center"/>
    </x:xf>
    <x:xf numFmtId="204" fontId="0" fillId="0" borderId="6" xfId="0" applyNumberFormat="1" applyFont="1" applyFill="1" applyBorder="1" applyAlignment="1">
      <x:alignment horizontal="center"/>
    </x:xf>
    <x:xf numFmtId="202" fontId="0" fillId="0" borderId="6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216E39"/>
      </x:font>
      <x:fill>
        <x:patternFill patternType="solid">
          <x:bgColor rgb="FFEAF6ED"/>
        </x:patternFill>
      </x:fill>
    </x:dxf>
    <x:dxf>
      <x:font>
        <x:b/>
        <x:color rgb="FF9B1C1C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62aa192dc4a0a" /><Relationship Type="http://schemas.openxmlformats.org/officeDocument/2006/relationships/theme" Target="/xl/theme/theme1.xml" Id="R518d4db0fb1049bc" /><Relationship Type="http://schemas.openxmlformats.org/officeDocument/2006/relationships/sharedStrings" Target="/xl/sharedStrings.xml" Id="Rea4bc5867a9d410f" /><Relationship Type="http://schemas.openxmlformats.org/officeDocument/2006/relationships/worksheet" Target="/xl/worksheets/sheet1.xml" Id="Ra3c85770e46a4ef7" /><Relationship Type="http://schemas.openxmlformats.org/officeDocument/2006/relationships/worksheet" Target="/xl/worksheets/sheet2.xml" Id="R3908ce712d9c4b86" /></Relationships>
</file>

<file path=xl/tables/table1.xml><?xml version="1.0" encoding="utf-8"?>
<x:table xmlns:x="http://schemas.openxmlformats.org/spreadsheetml/2006/main" id="1" name="BaseAplicacoes" displayName="BaseAplicacoes" ref="A1:J9" headerRowCount="1">
  <x:tableColumns count="10">
    <x:tableColumn id="1" name="Série"/>
    <x:tableColumn id="2" name="Componente"/>
    <x:tableColumn id="3" name="Aplicação"/>
    <x:tableColumn id="4" name="N"/>
    <x:tableColumn id="5" name="Itens TCM"/>
    <x:tableColumn id="6" name="Itens TRI"/>
    <x:tableColumn id="7" name="Escore médio"/>
    <x:tableColumn id="8" name="Total de itens"/>
    <x:tableColumn id="9" name="Proficiência média"/>
    <x:tableColumn id="10" name="Exclusão TR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a3022ce09048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6.8799991607666" hidden="0" customWidth="1"/>
    <x:col min="3" max="3" width="11.880000114440918" hidden="0" customWidth="1"/>
    <x:col min="4" max="4" width="9" hidden="0" customWidth="1"/>
    <x:col min="5" max="5" width="13.130000114440918" hidden="0" customWidth="1"/>
    <x:col min="6" max="6" width="13.130000114440918" hidden="0" customWidth="1"/>
    <x:col min="7" max="7" width="10.75" hidden="0" customWidth="1"/>
    <x:col min="8" max="8" width="15.630000114440918" hidden="0" customWidth="1"/>
    <x:col min="9" max="9" width="13.75" hidden="0" customWidth="1"/>
  </x:cols>
  <x:sheetData>
    <x:row r="1" ht="31.5" customHeight="1">
      <x:c r="A1" s="4" t="str">
        <x:v>Resumo geral das aplicações - Piauí 2026</x:v>
      </x:c>
      <x:c r="B1" s="4"/>
      <x:c r="C1" s="4"/>
      <x:c r="D1" s="4"/>
      <x:c r="E1" s="4"/>
      <x:c r="F1" s="4"/>
      <x:c r="G1" s="4"/>
      <x:c r="H1" s="4"/>
      <x:c r="I1" s="4"/>
    </x:row>
    <x:row r="2" ht="21" customHeight="1">
      <x:c r="A2" s="8" t="str">
        <x:v>Síntese descritiva das análises TCM e TRI - 2ª e 3ª séries do Ensino Médio</x:v>
      </x:c>
      <x:c r="B2" s="8"/>
      <x:c r="C2" s="8"/>
      <x:c r="D2" s="8"/>
      <x:c r="E2" s="8"/>
      <x:c r="F2" s="8"/>
      <x:c r="G2" s="8"/>
      <x:c r="H2" s="8"/>
      <x:c r="I2" s="8"/>
    </x:row>
    <x:row r="4" ht="28.5" customHeight="1">
      <x:c r="A4" s="14" t="str">
        <x:v>Série</x:v>
      </x:c>
      <x:c r="B4" s="14" t="str">
        <x:v>Componente</x:v>
      </x:c>
      <x:c r="C4" s="14" t="str">
        <x:v>Aplicação</x:v>
      </x:c>
      <x:c r="D4" s="14" t="str">
        <x:v>N</x:v>
      </x:c>
      <x:c r="E4" s="14" t="str">
        <x:v>Itens TCM / TRI</x:v>
      </x:c>
      <x:c r="F4" s="14" t="str">
        <x:v>Escore médio</x:v>
      </x:c>
      <x:c r="G4" s="14" t="str">
        <x:v>% do total</x:v>
      </x:c>
      <x:c r="H4" s="14" t="str">
        <x:v>Proficiência média</x:v>
      </x:c>
      <x:c r="I4" s="14" t="str">
        <x:v>Exclusão TRI</x:v>
      </x:c>
    </x:row>
    <x:row r="5" ht="20.25" customHeight="1">
      <x:c r="A5" s="55" t="str">
        <x:v>2ª série</x:v>
      </x:c>
      <x:c r="B5" s="56" t="str">
        <x:v>Matemática</x:v>
      </x:c>
      <x:c r="C5" s="56" t="str">
        <x:v>Simulado I</x:v>
      </x:c>
      <x:c r="D5" s="57" t="n">
        <x:v>30031</x:v>
      </x:c>
      <x:c r="E5" s="58" t="str">
        <x:v>26 / 26</x:v>
      </x:c>
      <x:c r="F5" s="58" t="str">
        <x:v>8,52 / 26</x:v>
      </x:c>
      <x:c r="G5" s="59" t="n">
        <x:f>'Base numérica'!G2/'Base numérica'!H2</x:f>
        <x:v>0.32782278824615385</x:v>
      </x:c>
      <x:c r="H5" s="60" t="n">
        <x:v>293.4270095289</x:v>
      </x:c>
      <x:c r="I5" s="61" t="str">
        <x:v>Nenhum</x:v>
      </x:c>
    </x:row>
    <x:row r="6" ht="20.25" customHeight="1">
      <x:c r="A6" s="62" t="str">
        <x:v>2ª série</x:v>
      </x:c>
      <x:c r="B6" s="63" t="str">
        <x:v>Matemática</x:v>
      </x:c>
      <x:c r="C6" s="63" t="str">
        <x:v>Simulado II</x:v>
      </x:c>
      <x:c r="D6" s="64" t="n">
        <x:v>30242</x:v>
      </x:c>
      <x:c r="E6" s="65" t="str">
        <x:v>26 / 26</x:v>
      </x:c>
      <x:c r="F6" s="65" t="str">
        <x:v>9,36 / 26</x:v>
      </x:c>
      <x:c r="G6" s="66" t="n">
        <x:f>'Base numérica'!G3/'Base numérica'!H3</x:f>
        <x:v>0.3598281554423077</x:v>
      </x:c>
      <x:c r="H6" s="67" t="n">
        <x:v>303.5508202704</x:v>
      </x:c>
      <x:c r="I6" s="68" t="str">
        <x:v>Nenhum</x:v>
      </x:c>
    </x:row>
    <x:row r="7" ht="20.25" customHeight="1">
      <x:c r="A7" s="69" t="str">
        <x:v>2ª série</x:v>
      </x:c>
      <x:c r="B7" s="70" t="str">
        <x:v>Língua Portuguesa</x:v>
      </x:c>
      <x:c r="C7" s="70" t="str">
        <x:v>Simulado I</x:v>
      </x:c>
      <x:c r="D7" s="71" t="n">
        <x:v>30031</x:v>
      </x:c>
      <x:c r="E7" s="72" t="str">
        <x:v>26 / 25</x:v>
      </x:c>
      <x:c r="F7" s="72" t="str">
        <x:v>13,10 / 26</x:v>
      </x:c>
      <x:c r="G7" s="73" t="n">
        <x:f>'Base numérica'!G4/'Base numérica'!H4</x:f>
        <x:v>0.503837060676923</x:v>
      </x:c>
      <x:c r="H7" s="74" t="n">
        <x:v>234.6105697797</x:v>
      </x:c>
      <x:c r="I7" s="75" t="str">
        <x:v>21</x:v>
      </x:c>
    </x:row>
    <x:row r="8" ht="20.25" customHeight="1">
      <x:c r="A8" s="69" t="str">
        <x:v>2ª série</x:v>
      </x:c>
      <x:c r="B8" s="70" t="str">
        <x:v>Língua Portuguesa</x:v>
      </x:c>
      <x:c r="C8" s="70" t="str">
        <x:v>Simulado II</x:v>
      </x:c>
      <x:c r="D8" s="71" t="n">
        <x:v>30242</x:v>
      </x:c>
      <x:c r="E8" s="72" t="str">
        <x:v>26 / 26</x:v>
      </x:c>
      <x:c r="F8" s="72" t="str">
        <x:v>13,48 / 26</x:v>
      </x:c>
      <x:c r="G8" s="73" t="n">
        <x:f>'Base numérica'!G5/'Base numérica'!H5</x:f>
        <x:v>0.5184460734692308</x:v>
      </x:c>
      <x:c r="H8" s="74" t="n">
        <x:v>243.5044394301</x:v>
      </x:c>
      <x:c r="I8" s="75" t="str">
        <x:v>Nenhum</x:v>
      </x:c>
    </x:row>
    <x:row r="9" ht="20.25" customHeight="1">
      <x:c r="A9" s="62" t="str">
        <x:v>3ª série</x:v>
      </x:c>
      <x:c r="B9" s="63" t="str">
        <x:v>Matemática</x:v>
      </x:c>
      <x:c r="C9" s="63" t="str">
        <x:v>Simulado I</x:v>
      </x:c>
      <x:c r="D9" s="64" t="n">
        <x:v>28416</x:v>
      </x:c>
      <x:c r="E9" s="65" t="str">
        <x:v>26 / 25</x:v>
      </x:c>
      <x:c r="F9" s="65" t="str">
        <x:v>8,50 / 26</x:v>
      </x:c>
      <x:c r="G9" s="66" t="n">
        <x:f>'Base numérica'!G6/'Base numérica'!H6</x:f>
        <x:v>0.3268202096346154</x:v>
      </x:c>
      <x:c r="H9" s="67" t="n">
        <x:v>289.7890932601</x:v>
      </x:c>
      <x:c r="I9" s="68" t="str">
        <x:v>8</x:v>
      </x:c>
    </x:row>
    <x:row r="10" ht="20.25" customHeight="1">
      <x:c r="A10" s="62" t="str">
        <x:v>3ª série</x:v>
      </x:c>
      <x:c r="B10" s="63" t="str">
        <x:v>Matemática</x:v>
      </x:c>
      <x:c r="C10" s="63" t="str">
        <x:v>Simulado II</x:v>
      </x:c>
      <x:c r="D10" s="64" t="n">
        <x:v>28670</x:v>
      </x:c>
      <x:c r="E10" s="65" t="str">
        <x:v>26 / 25</x:v>
      </x:c>
      <x:c r="F10" s="65" t="str">
        <x:v>8,95 / 26</x:v>
      </x:c>
      <x:c r="G10" s="66" t="n">
        <x:f>'Base numérica'!G7/'Base numérica'!H7</x:f>
        <x:v>0.3440624077692308</x:v>
      </x:c>
      <x:c r="H10" s="67" t="n">
        <x:v>304.5504446086</x:v>
      </x:c>
      <x:c r="I10" s="68" t="str">
        <x:v>14</x:v>
      </x:c>
    </x:row>
    <x:row r="11" ht="20.25" customHeight="1">
      <x:c r="A11" s="69" t="str">
        <x:v>3ª série</x:v>
      </x:c>
      <x:c r="B11" s="70" t="str">
        <x:v>Língua Portuguesa</x:v>
      </x:c>
      <x:c r="C11" s="70" t="str">
        <x:v>Simulado I</x:v>
      </x:c>
      <x:c r="D11" s="71" t="n">
        <x:v>28416</x:v>
      </x:c>
      <x:c r="E11" s="72" t="str">
        <x:v>26 / 26</x:v>
      </x:c>
      <x:c r="F11" s="72" t="str">
        <x:v>11,78 / 26</x:v>
      </x:c>
      <x:c r="G11" s="73" t="n">
        <x:f>'Base numérica'!G8/'Base numérica'!H8</x:f>
        <x:v>0.4529531033423077</x:v>
      </x:c>
      <x:c r="H11" s="74" t="n">
        <x:v>256.7291477068</x:v>
      </x:c>
      <x:c r="I11" s="75" t="str">
        <x:v>Nenhum</x:v>
      </x:c>
    </x:row>
    <x:row r="12" ht="20.25" customHeight="1">
      <x:c r="A12" s="76" t="str">
        <x:v>3ª série</x:v>
      </x:c>
      <x:c r="B12" s="77" t="str">
        <x:v>Língua Portuguesa</x:v>
      </x:c>
      <x:c r="C12" s="77" t="str">
        <x:v>Simulado II</x:v>
      </x:c>
      <x:c r="D12" s="78" t="n">
        <x:v>28670</x:v>
      </x:c>
      <x:c r="E12" s="79" t="str">
        <x:v>26 / 23</x:v>
      </x:c>
      <x:c r="F12" s="79" t="str">
        <x:v>13,67 / 26</x:v>
      </x:c>
      <x:c r="G12" s="80" t="n">
        <x:f>'Base numérica'!G9/'Base numérica'!H9</x:f>
        <x:v>0.52566606745</x:v>
      </x:c>
      <x:c r="H12" s="81" t="n">
        <x:v>252.2544111227</x:v>
      </x:c>
      <x:c r="I12" s="82" t="str">
        <x:v>8, 12 e 20</x:v>
      </x:c>
    </x:row>
    <x:row r="14" ht="33" customHeight="1">
      <x:c r="A14" s="94" t="str">
        <x:v>Nota: as diferenças entre aplicações são descritivas. Não representam, isoladamente, evolução de aprendizagem sem controle da composição das amostras e da equivalência das formas.</x:v>
      </x:c>
      <x:c r="B14" s="95"/>
      <x:c r="C14" s="95"/>
      <x:c r="D14" s="95"/>
      <x:c r="E14" s="95"/>
      <x:c r="F14" s="95"/>
      <x:c r="G14" s="95"/>
      <x:c r="H14" s="95"/>
      <x:c r="I14" s="96"/>
    </x:row>
  </x:sheetData>
  <x:mergeCells>
    <x:mergeCell ref="A1:I1"/>
    <x:mergeCell ref="A2:I2"/>
    <x:mergeCell ref="A14:I14"/>
  </x:mergeCells>
  <x:conditionalFormatting sqref="I5:I12">
    <x:cfRule type="containsText" dxfId="0" priority="1" operator="containsText" text="Nenhum"/>
    <x:cfRule type="notContainsText" dxfId="1" priority="2" text="Nenhum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6.8799991607666" hidden="0" customWidth="1"/>
    <x:col min="3" max="3" width="11.880000114440918" hidden="0" customWidth="1"/>
    <x:col min="4" max="4" width="9" hidden="0" customWidth="1"/>
    <x:col min="5" max="5" width="10.25" hidden="0" customWidth="1"/>
    <x:col min="6" max="6" width="10.25" hidden="0" customWidth="1"/>
    <x:col min="7" max="7" width="13.130000114440918" hidden="0" customWidth="1"/>
    <x:col min="8" max="8" width="11.880000114440918" hidden="0" customWidth="1"/>
    <x:col min="9" max="9" width="15.630000114440918" hidden="0" customWidth="1"/>
    <x:col min="10" max="10" width="13.75" hidden="0" customWidth="1"/>
  </x:cols>
  <x:sheetData>
    <x:row r="1" ht="18.75" customHeight="1">
      <x:c r="A1" s="107" t="str">
        <x:v>Série</x:v>
      </x:c>
      <x:c r="B1" s="107" t="str">
        <x:v>Componente</x:v>
      </x:c>
      <x:c r="C1" s="107" t="str">
        <x:v>Aplicação</x:v>
      </x:c>
      <x:c r="D1" s="107" t="str">
        <x:v>N</x:v>
      </x:c>
      <x:c r="E1" s="107" t="str">
        <x:v>Itens TCM</x:v>
      </x:c>
      <x:c r="F1" s="107" t="str">
        <x:v>Itens TRI</x:v>
      </x:c>
      <x:c r="G1" s="107" t="str">
        <x:v>Escore médio</x:v>
      </x:c>
      <x:c r="H1" s="107" t="str">
        <x:v>Total de itens</x:v>
      </x:c>
      <x:c r="I1" s="107" t="str">
        <x:v>Proficiência média</x:v>
      </x:c>
      <x:c r="J1" s="107" t="str">
        <x:v>Exclusão TRI</x:v>
      </x:c>
    </x:row>
    <x:row r="2" ht="18.75" customHeight="1">
      <x:c r="A2" s="108" t="str">
        <x:v>2ª série</x:v>
      </x:c>
      <x:c r="B2" s="108" t="str">
        <x:v>Matemática</x:v>
      </x:c>
      <x:c r="C2" s="108" t="str">
        <x:v>Simulado I</x:v>
      </x:c>
      <x:c r="D2" s="109" t="n">
        <x:v>30031</x:v>
      </x:c>
      <x:c r="E2" s="109" t="n">
        <x:v>26</x:v>
      </x:c>
      <x:c r="F2" s="109" t="n">
        <x:v>26</x:v>
      </x:c>
      <x:c r="G2" s="110" t="n">
        <x:v>8.5233924944</x:v>
      </x:c>
      <x:c r="H2" s="111" t="n">
        <x:v>26</x:v>
      </x:c>
      <x:c r="I2" s="112" t="n">
        <x:v>293.4270095289</x:v>
      </x:c>
      <x:c r="J2" s="113" t="str">
        <x:v>Nenhum</x:v>
      </x:c>
    </x:row>
    <x:row r="3" ht="18.75" customHeight="1">
      <x:c r="A3" s="108" t="str">
        <x:v>2ª série</x:v>
      </x:c>
      <x:c r="B3" s="108" t="str">
        <x:v>Matemática</x:v>
      </x:c>
      <x:c r="C3" s="108" t="str">
        <x:v>Simulado II</x:v>
      </x:c>
      <x:c r="D3" s="109" t="n">
        <x:v>30242</x:v>
      </x:c>
      <x:c r="E3" s="109" t="n">
        <x:v>26</x:v>
      </x:c>
      <x:c r="F3" s="109" t="n">
        <x:v>26</x:v>
      </x:c>
      <x:c r="G3" s="110" t="n">
        <x:v>9.3555320415</x:v>
      </x:c>
      <x:c r="H3" s="111" t="n">
        <x:v>26</x:v>
      </x:c>
      <x:c r="I3" s="112" t="n">
        <x:v>303.5508202704</x:v>
      </x:c>
      <x:c r="J3" s="113" t="str">
        <x:v>Nenhum</x:v>
      </x:c>
    </x:row>
    <x:row r="4" ht="18.75" customHeight="1">
      <x:c r="A4" s="108" t="str">
        <x:v>2ª série</x:v>
      </x:c>
      <x:c r="B4" s="108" t="str">
        <x:v>Língua Portuguesa</x:v>
      </x:c>
      <x:c r="C4" s="108" t="str">
        <x:v>Simulado I</x:v>
      </x:c>
      <x:c r="D4" s="109" t="n">
        <x:v>30031</x:v>
      </x:c>
      <x:c r="E4" s="109" t="n">
        <x:v>26</x:v>
      </x:c>
      <x:c r="F4" s="109" t="n">
        <x:v>25</x:v>
      </x:c>
      <x:c r="G4" s="110" t="n">
        <x:v>13.0997635776</x:v>
      </x:c>
      <x:c r="H4" s="111" t="n">
        <x:v>26</x:v>
      </x:c>
      <x:c r="I4" s="112" t="n">
        <x:v>234.6105697797</x:v>
      </x:c>
      <x:c r="J4" s="113" t="str">
        <x:v>21</x:v>
      </x:c>
    </x:row>
    <x:row r="5" ht="18.75" customHeight="1">
      <x:c r="A5" s="108" t="str">
        <x:v>2ª série</x:v>
      </x:c>
      <x:c r="B5" s="108" t="str">
        <x:v>Língua Portuguesa</x:v>
      </x:c>
      <x:c r="C5" s="108" t="str">
        <x:v>Simulado II</x:v>
      </x:c>
      <x:c r="D5" s="109" t="n">
        <x:v>30242</x:v>
      </x:c>
      <x:c r="E5" s="109" t="n">
        <x:v>26</x:v>
      </x:c>
      <x:c r="F5" s="109" t="n">
        <x:v>26</x:v>
      </x:c>
      <x:c r="G5" s="110" t="n">
        <x:v>13.4795979102</x:v>
      </x:c>
      <x:c r="H5" s="111" t="n">
        <x:v>26</x:v>
      </x:c>
      <x:c r="I5" s="112" t="n">
        <x:v>243.5044394301</x:v>
      </x:c>
      <x:c r="J5" s="113" t="str">
        <x:v>Nenhum</x:v>
      </x:c>
    </x:row>
    <x:row r="6" ht="18.75" customHeight="1">
      <x:c r="A6" s="108" t="str">
        <x:v>3ª série</x:v>
      </x:c>
      <x:c r="B6" s="108" t="str">
        <x:v>Matemática</x:v>
      </x:c>
      <x:c r="C6" s="108" t="str">
        <x:v>Simulado I</x:v>
      </x:c>
      <x:c r="D6" s="109" t="n">
        <x:v>28416</x:v>
      </x:c>
      <x:c r="E6" s="109" t="n">
        <x:v>26</x:v>
      </x:c>
      <x:c r="F6" s="109" t="n">
        <x:v>25</x:v>
      </x:c>
      <x:c r="G6" s="110" t="n">
        <x:v>8.4973254505</x:v>
      </x:c>
      <x:c r="H6" s="111" t="n">
        <x:v>26</x:v>
      </x:c>
      <x:c r="I6" s="112" t="n">
        <x:v>289.7890932601</x:v>
      </x:c>
      <x:c r="J6" s="113" t="str">
        <x:v>8</x:v>
      </x:c>
    </x:row>
    <x:row r="7" ht="18.75" customHeight="1">
      <x:c r="A7" s="108" t="str">
        <x:v>3ª série</x:v>
      </x:c>
      <x:c r="B7" s="108" t="str">
        <x:v>Matemática</x:v>
      </x:c>
      <x:c r="C7" s="108" t="str">
        <x:v>Simulado II</x:v>
      </x:c>
      <x:c r="D7" s="109" t="n">
        <x:v>28670</x:v>
      </x:c>
      <x:c r="E7" s="109" t="n">
        <x:v>26</x:v>
      </x:c>
      <x:c r="F7" s="109" t="n">
        <x:v>25</x:v>
      </x:c>
      <x:c r="G7" s="110" t="n">
        <x:v>8.945622602</x:v>
      </x:c>
      <x:c r="H7" s="111" t="n">
        <x:v>26</x:v>
      </x:c>
      <x:c r="I7" s="112" t="n">
        <x:v>304.5504446086</x:v>
      </x:c>
      <x:c r="J7" s="113" t="str">
        <x:v>14</x:v>
      </x:c>
    </x:row>
    <x:row r="8" ht="18.75" customHeight="1">
      <x:c r="A8" s="108" t="str">
        <x:v>3ª série</x:v>
      </x:c>
      <x:c r="B8" s="108" t="str">
        <x:v>Língua Portuguesa</x:v>
      </x:c>
      <x:c r="C8" s="108" t="str">
        <x:v>Simulado I</x:v>
      </x:c>
      <x:c r="D8" s="109" t="n">
        <x:v>28416</x:v>
      </x:c>
      <x:c r="E8" s="109" t="n">
        <x:v>26</x:v>
      </x:c>
      <x:c r="F8" s="109" t="n">
        <x:v>26</x:v>
      </x:c>
      <x:c r="G8" s="110" t="n">
        <x:v>11.7767806869</x:v>
      </x:c>
      <x:c r="H8" s="111" t="n">
        <x:v>26</x:v>
      </x:c>
      <x:c r="I8" s="112" t="n">
        <x:v>256.7291477068</x:v>
      </x:c>
      <x:c r="J8" s="113" t="str">
        <x:v>Nenhum</x:v>
      </x:c>
    </x:row>
    <x:row r="9" ht="18.75" customHeight="1">
      <x:c r="A9" s="108" t="str">
        <x:v>3ª série</x:v>
      </x:c>
      <x:c r="B9" s="108" t="str">
        <x:v>Língua Portuguesa</x:v>
      </x:c>
      <x:c r="C9" s="108" t="str">
        <x:v>Simulado II</x:v>
      </x:c>
      <x:c r="D9" s="109" t="n">
        <x:v>28670</x:v>
      </x:c>
      <x:c r="E9" s="109" t="n">
        <x:v>26</x:v>
      </x:c>
      <x:c r="F9" s="109" t="n">
        <x:v>23</x:v>
      </x:c>
      <x:c r="G9" s="110" t="n">
        <x:v>13.6673177537</x:v>
      </x:c>
      <x:c r="H9" s="111" t="n">
        <x:v>26</x:v>
      </x:c>
      <x:c r="I9" s="112" t="n">
        <x:v>252.2544111227</x:v>
      </x:c>
      <x:c r="J9" s="113" t="str">
        <x:v>8, 12 e 20</x:v>
      </x:c>
    </x:row>
  </x:sheetData>
  <x:pageMargins left="0.7" right="0.7" top="0.75" bottom="0.75" header="0.3" footer="0.3"/>
  <x:tableParts count="1">
    <x:tablePart xmlns:r="http://schemas.openxmlformats.org/officeDocument/2006/relationships" r:id="R6ba3022ce090487c"/>
  </x:tableParts>
</x:worksheet>
</file>