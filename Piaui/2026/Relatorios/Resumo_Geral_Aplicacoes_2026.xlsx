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_rels/sheet2.xml.rels" ContentType="application/vnd.openxmlformats-package.relationship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 geral" sheetId="1" state="visible" r:id="rId3"/>
    <sheet name="Base numérica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<sst xmlns="http://schemas.openxmlformats.org/spreadsheetml/2006/main" count="102" uniqueCount="36">
  <si>
    <t xml:space="preserve">Resumo geral das aplicações - Piauí 2026</t>
  </si>
  <si>
    <t xml:space="preserve">Síntese descritiva das análises TCM e TRI - 2ª e 3ª séries do Ensino Médio</t>
  </si>
  <si>
    <t xml:space="preserve">Série</t>
  </si>
  <si>
    <t xml:space="preserve">Componente</t>
  </si>
  <si>
    <t xml:space="preserve">Aplicação</t>
  </si>
  <si>
    <t xml:space="preserve">N</t>
  </si>
  <si>
    <t xml:space="preserve">Itens TCM / TRI</t>
  </si>
  <si>
    <t xml:space="preserve">Escore médio</t>
  </si>
  <si>
    <t xml:space="preserve">% do total</t>
  </si>
  <si>
    <t xml:space="preserve">Proficiência média</t>
  </si>
  <si>
    <t xml:space="preserve">Exclusão TRI</t>
  </si>
  <si>
    <t xml:space="preserve">2ª série</t>
  </si>
  <si>
    <t xml:space="preserve">Matemática</t>
  </si>
  <si>
    <t xml:space="preserve">Simulado I</t>
  </si>
  <si>
    <t xml:space="preserve">26 / 26</t>
  </si>
  <si>
    <t xml:space="preserve">8,52 / 26</t>
  </si>
  <si>
    <t xml:space="preserve">Nenhum</t>
  </si>
  <si>
    <t xml:space="preserve">Simulado II</t>
  </si>
  <si>
    <t xml:space="preserve">9,36 / 26</t>
  </si>
  <si>
    <t xml:space="preserve">Língua Portuguesa</t>
  </si>
  <si>
    <t xml:space="preserve">26 / 25</t>
  </si>
  <si>
    <t xml:space="preserve">13,10 / 26</t>
  </si>
  <si>
    <t xml:space="preserve">21</t>
  </si>
  <si>
    <t xml:space="preserve">13,48 / 26</t>
  </si>
  <si>
    <t xml:space="preserve">3ª série</t>
  </si>
  <si>
    <t xml:space="preserve">8,50 / 26</t>
  </si>
  <si>
    <t xml:space="preserve">8,95 / 26</t>
  </si>
  <si>
    <t xml:space="preserve">14</t>
  </si>
  <si>
    <t xml:space="preserve">11,78 / 26</t>
  </si>
  <si>
    <t xml:space="preserve">26 / 23</t>
  </si>
  <si>
    <t xml:space="preserve">13,67 / 26</t>
  </si>
  <si>
    <t xml:space="preserve">8, 12 e 20</t>
  </si>
  <si>
    <t xml:space="preserve">Nota: as diferenças entre aplicações são descritivas. Não representam, isoladamente, evolução de aprendizagem sem controle da composição das amostras e da equivalência das formas.</t>
  </si>
  <si>
    <t xml:space="preserve">Itens TCM</t>
  </si>
  <si>
    <t xml:space="preserve">Itens TRI</t>
  </si>
  <si>
    <t xml:space="preserve">Total de itens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</si>
</sst>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0.0%"/>
    <numFmt numFmtId="167" formatCode="0.0"/>
    <numFmt numFmtId="168" formatCode="0.00"/>
    <numFmt numFmtId="169" formatCode="0"/>
  </numFmts>
  <fonts count="11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8"/>
      <color rgb="FFFFFFFF"/>
      <name val="Calibri"/>
      <family val="0"/>
      <charset val="1"/>
    </font>
    <font>
      <sz val="11"/>
      <color rgb="FF203748"/>
      <name val="Calibri"/>
      <family val="0"/>
      <charset val="1"/>
    </font>
    <font>
      <b val="true"/>
      <sz val="10"/>
      <color rgb="FF203748"/>
      <name val="Calibri"/>
      <family val="0"/>
      <charset val="1"/>
    </font>
    <font>
      <sz val="10"/>
      <color rgb="FF202124"/>
      <name val="Calibri"/>
      <family val="0"/>
      <charset val="1"/>
    </font>
    <font>
      <i val="true"/>
      <sz val="9"/>
      <color rgb="FF6A4B00"/>
      <name val="Calibri"/>
      <family val="0"/>
      <charset val="1"/>
    </font>
    <font>
      <b val="true"/>
      <sz val="11"/>
      <color rgb="FFFFFFFF"/>
      <name val="Calibr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03748"/>
        <bgColor rgb="FF003366"/>
      </patternFill>
    </fill>
    <fill>
      <patternFill patternType="solid">
        <fgColor rgb="FFE8EEF5"/>
        <bgColor rgb="FFEAF6ED"/>
      </patternFill>
    </fill>
    <fill>
      <patternFill patternType="solid">
        <fgColor rgb="FFF2F4F7"/>
        <bgColor rgb="FFEAF6ED"/>
      </patternFill>
    </fill>
    <fill>
      <patternFill patternType="solid">
        <fgColor rgb="FFF8FBFE"/>
        <bgColor rgb="FFFFFDF7"/>
      </patternFill>
    </fill>
    <fill>
      <patternFill patternType="solid">
        <fgColor rgb="FFFFFDF7"/>
        <bgColor rgb="FFFFFFFF"/>
      </patternFill>
    </fill>
    <fill>
      <patternFill patternType="solid">
        <fgColor rgb="FFFFF4CE"/>
        <bgColor rgb="FFFDE9E7"/>
      </patternFill>
    </fill>
  </fills>
  <borders count="12">
    <border diagonalUp="false" diagonalDown="false">
      <left/>
      <right/>
      <top/>
      <bottom/>
      <diagonal/>
    </border>
    <border diagonalUp="false" diagonalDown="false">
      <left style="thin">
        <color rgb="FF7A8591"/>
      </left>
      <right style="thin">
        <color rgb="FF7A8591"/>
      </right>
      <top style="thin">
        <color rgb="FF7A8591"/>
      </top>
      <bottom style="thin">
        <color rgb="FF7A8591"/>
      </bottom>
      <diagonal/>
    </border>
    <border diagonalUp="false" diagonalDown="false">
      <left style="thin">
        <color rgb="FF7A8591"/>
      </left>
      <right style="thin">
        <color rgb="FFD9DEE5"/>
      </right>
      <top style="thin">
        <color rgb="FF7A8591"/>
      </top>
      <bottom style="thin">
        <color rgb="FFD9DEE5"/>
      </bottom>
      <diagonal/>
    </border>
    <border diagonalUp="false" diagonalDown="false">
      <left style="thin">
        <color rgb="FFD9DEE5"/>
      </left>
      <right style="thin">
        <color rgb="FFD9DEE5"/>
      </right>
      <top style="thin">
        <color rgb="FF7A8591"/>
      </top>
      <bottom style="thin">
        <color rgb="FFD9DEE5"/>
      </bottom>
      <diagonal/>
    </border>
    <border diagonalUp="false" diagonalDown="false">
      <left style="thin">
        <color rgb="FFD9DEE5"/>
      </left>
      <right style="thin">
        <color rgb="FF7A8591"/>
      </right>
      <top style="thin">
        <color rgb="FF7A8591"/>
      </top>
      <bottom style="thin">
        <color rgb="FFD9DEE5"/>
      </bottom>
      <diagonal/>
    </border>
    <border diagonalUp="false" diagonalDown="false">
      <left style="thin">
        <color rgb="FF7A8591"/>
      </left>
      <right style="thin">
        <color rgb="FFD9DEE5"/>
      </right>
      <top style="thin">
        <color rgb="FFD9DEE5"/>
      </top>
      <bottom style="thin">
        <color rgb="FFD9DEE5"/>
      </bottom>
      <diagonal/>
    </border>
    <border diagonalUp="false" diagonalDown="false">
      <left style="thin">
        <color rgb="FFD9DEE5"/>
      </left>
      <right style="thin">
        <color rgb="FFD9DEE5"/>
      </right>
      <top style="thin">
        <color rgb="FFD9DEE5"/>
      </top>
      <bottom style="thin">
        <color rgb="FFD9DEE5"/>
      </bottom>
      <diagonal/>
    </border>
    <border diagonalUp="false" diagonalDown="false">
      <left style="thin">
        <color rgb="FFD9DEE5"/>
      </left>
      <right style="thin">
        <color rgb="FF7A8591"/>
      </right>
      <top style="thin">
        <color rgb="FFD9DEE5"/>
      </top>
      <bottom style="thin">
        <color rgb="FFD9DEE5"/>
      </bottom>
      <diagonal/>
    </border>
    <border diagonalUp="false" diagonalDown="false">
      <left style="thin">
        <color rgb="FF7A8591"/>
      </left>
      <right style="thin">
        <color rgb="FFD9DEE5"/>
      </right>
      <top style="thin">
        <color rgb="FFD9DEE5"/>
      </top>
      <bottom style="thin">
        <color rgb="FF7A8591"/>
      </bottom>
      <diagonal/>
    </border>
    <border diagonalUp="false" diagonalDown="false">
      <left style="thin">
        <color rgb="FFD9DEE5"/>
      </left>
      <right style="thin">
        <color rgb="FFD9DEE5"/>
      </right>
      <top style="thin">
        <color rgb="FFD9DEE5"/>
      </top>
      <bottom style="thin">
        <color rgb="FF7A8591"/>
      </bottom>
      <diagonal/>
    </border>
    <border diagonalUp="false" diagonalDown="false">
      <left style="thin">
        <color rgb="FFD9DEE5"/>
      </left>
      <right style="thin">
        <color rgb="FF7A8591"/>
      </right>
      <top style="thin">
        <color rgb="FFD9DEE5"/>
      </top>
      <bottom style="thin">
        <color rgb="FF7A8591"/>
      </bottom>
      <diagonal/>
    </border>
    <border diagonalUp="false" diagonalDown="false">
      <left style="thin">
        <color rgb="FFD6B656"/>
      </left>
      <right style="thin">
        <color rgb="FFD6B656"/>
      </right>
      <top style="thin">
        <color rgb="FFD6B656"/>
      </top>
      <bottom style="thin">
        <color rgb="FFD6B656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3" borderId="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2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5" borderId="3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5" borderId="3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3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5" borderId="3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5" borderId="3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4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5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5" borderId="6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5" borderId="6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6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5" borderId="6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5" borderId="6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7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5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6" borderId="6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6" borderId="6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6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6" borderId="6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6" borderId="6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7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8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6" borderId="9" xfId="2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8" fillId="6" borderId="9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9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6" borderId="9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8" fillId="6" borderId="9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1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11" xfId="2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2" borderId="6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6" xfId="2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6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6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6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6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6" xfId="2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5">
    <dxf>
      <font>
        <color rgb="FF216E39"/>
      </font>
      <fill>
        <patternFill>
          <bgColor rgb="FFEAF6ED"/>
        </patternFill>
      </fill>
    </dxf>
    <dxf>
      <font>
        <b val="1"/>
        <color rgb="FF9B1C1C"/>
      </font>
      <fill>
        <patternFill>
          <bgColor rgb="FFFDE9E7"/>
        </patternFill>
      </fill>
    </dxf>
    <dxf>
      <fill>
        <patternFill patternType="solid">
          <fgColor rgb="FF20374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216E39"/>
      <rgbColor rgb="FF000080"/>
      <rgbColor rgb="FF6A4B00"/>
      <rgbColor rgb="FF800080"/>
      <rgbColor rgb="FF008080"/>
      <rgbColor rgb="FFF8FBFE"/>
      <rgbColor rgb="FF7A8591"/>
      <rgbColor rgb="FF9999FF"/>
      <rgbColor rgb="FF993366"/>
      <rgbColor rgb="FFFFF4CE"/>
      <rgbColor rgb="FFEAF6ED"/>
      <rgbColor rgb="FF660066"/>
      <rgbColor rgb="FFFF8080"/>
      <rgbColor rgb="FF0066CC"/>
      <rgbColor rgb="FFD9DE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EEF5"/>
      <rgbColor rgb="FFF2F4F7"/>
      <rgbColor rgb="FFFDE9E7"/>
      <rgbColor rgb="FFFFFDF7"/>
      <rgbColor rgb="FFFF99CC"/>
      <rgbColor rgb="FFCC99FF"/>
      <rgbColor rgb="FFD6B65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202124"/>
      <rgbColor rgb="FF9B1C1C"/>
      <rgbColor rgb="FF993366"/>
      <rgbColor rgb="FF333399"/>
      <rgbColor rgb="FF203748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BaseAplicacoes" displayName="BaseAplicacoes" ref="A1:J9" headerRowCount="1" totalsRowCount="0" totalsRowShown="0">
  <tableColumns count="10">
    <tableColumn id="1" name="Série"/>
    <tableColumn id="2" name="Componente"/>
    <tableColumn id="3" name="Aplicação"/>
    <tableColumn id="4" name="N"/>
    <tableColumn id="5" name="Itens TCM"/>
    <tableColumn id="6" name="Itens TRI"/>
    <tableColumn id="7" name="Escore médio"/>
    <tableColumn id="8" name="Total de itens"/>
    <tableColumn id="9" name="Proficiência média"/>
    <tableColumn id="10" name="Exclusão TRI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M9" activeCellId="0" sqref="M9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10.25"/>
    <col collapsed="false" customWidth="true" hidden="false" outlineLevel="0" max="2" min="2" style="0" width="16.89"/>
    <col collapsed="false" customWidth="true" hidden="false" outlineLevel="0" max="3" min="3" style="0" width="11.89"/>
    <col collapsed="false" customWidth="true" hidden="false" outlineLevel="0" max="4" min="4" style="0" width="9"/>
    <col collapsed="false" customWidth="true" hidden="false" outlineLevel="0" max="6" min="5" style="0" width="13.13"/>
    <col collapsed="false" customWidth="true" hidden="false" outlineLevel="0" max="7" min="7" style="0" width="10.75"/>
    <col collapsed="false" customWidth="true" hidden="false" outlineLevel="0" max="8" min="8" style="0" width="15.63"/>
    <col collapsed="false" customWidth="true" hidden="false" outlineLevel="0" max="9" min="9" style="0" width="13.75"/>
  </cols>
  <sheetData>
    <row r="1" customFormat="false" ht="31.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21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</row>
    <row r="4" customFormat="false" ht="28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customFormat="false" ht="20.25" hidden="false" customHeight="true" outlineLevel="0" collapsed="false">
      <c r="A5" s="4" t="s">
        <v>11</v>
      </c>
      <c r="B5" s="5" t="s">
        <v>12</v>
      </c>
      <c r="C5" s="5" t="s">
        <v>13</v>
      </c>
      <c r="D5" s="6" t="n">
        <v>30031</v>
      </c>
      <c r="E5" s="7" t="s">
        <v>14</v>
      </c>
      <c r="F5" s="7" t="s">
        <v>15</v>
      </c>
      <c r="G5" s="8" t="n">
        <f aca="false">'Base numérica'!G2/'Base numérica'!H2</f>
        <v>0.327822788246154</v>
      </c>
      <c r="H5" s="9" t="n">
        <v>293.4270095289</v>
      </c>
      <c r="I5" s="10" t="s">
        <v>16</v>
      </c>
    </row>
    <row r="6" customFormat="false" ht="20.25" hidden="false" customHeight="true" outlineLevel="0" collapsed="false">
      <c r="A6" s="11" t="s">
        <v>11</v>
      </c>
      <c r="B6" s="12" t="s">
        <v>12</v>
      </c>
      <c r="C6" s="12" t="s">
        <v>17</v>
      </c>
      <c r="D6" s="13" t="n">
        <v>30242</v>
      </c>
      <c r="E6" s="14" t="s">
        <v>14</v>
      </c>
      <c r="F6" s="14" t="s">
        <v>18</v>
      </c>
      <c r="G6" s="15" t="n">
        <f aca="false">'Base numérica'!G3/'Base numérica'!H3</f>
        <v>0.359828155442308</v>
      </c>
      <c r="H6" s="16" t="n">
        <v>303.5508202704</v>
      </c>
      <c r="I6" s="17" t="s">
        <v>16</v>
      </c>
    </row>
    <row r="7" customFormat="false" ht="20.25" hidden="false" customHeight="true" outlineLevel="0" collapsed="false">
      <c r="A7" s="18" t="s">
        <v>11</v>
      </c>
      <c r="B7" s="19" t="s">
        <v>19</v>
      </c>
      <c r="C7" s="19" t="s">
        <v>13</v>
      </c>
      <c r="D7" s="20" t="n">
        <v>30031</v>
      </c>
      <c r="E7" s="21" t="s">
        <v>20</v>
      </c>
      <c r="F7" s="21" t="s">
        <v>21</v>
      </c>
      <c r="G7" s="22" t="n">
        <f aca="false">'Base numérica'!G4/'Base numérica'!H4</f>
        <v>0.503837060676923</v>
      </c>
      <c r="H7" s="23" t="n">
        <v>234.6105697797</v>
      </c>
      <c r="I7" s="24" t="s">
        <v>22</v>
      </c>
    </row>
    <row r="8" customFormat="false" ht="20.25" hidden="false" customHeight="true" outlineLevel="0" collapsed="false">
      <c r="A8" s="18" t="s">
        <v>11</v>
      </c>
      <c r="B8" s="19" t="s">
        <v>19</v>
      </c>
      <c r="C8" s="19" t="s">
        <v>17</v>
      </c>
      <c r="D8" s="20" t="n">
        <v>30242</v>
      </c>
      <c r="E8" s="21" t="s">
        <v>14</v>
      </c>
      <c r="F8" s="21" t="s">
        <v>23</v>
      </c>
      <c r="G8" s="22" t="n">
        <f aca="false">'Base numérica'!G5/'Base numérica'!H5</f>
        <v>0.518446073469231</v>
      </c>
      <c r="H8" s="23" t="n">
        <v>243.5044394301</v>
      </c>
      <c r="I8" s="24" t="s">
        <v>16</v>
      </c>
    </row>
    <row r="9" customFormat="false" ht="20.25" hidden="false" customHeight="true" outlineLevel="0" collapsed="false">
      <c r="A9" s="11" t="s">
        <v>24</v>
      </c>
      <c r="B9" s="12" t="s">
        <v>12</v>
      </c>
      <c r="C9" s="12" t="s">
        <v>13</v>
      </c>
      <c r="D9" s="13" t="n">
        <v>28416</v>
      </c>
      <c r="E9" s="14" t="s">
        <v>20</v>
      </c>
      <c r="F9" s="14" t="s">
        <v>25</v>
      </c>
      <c r="G9" s="15" t="n">
        <f aca="false">'Base numérica'!G6/'Base numérica'!H6</f>
        <v>0.326820209634615</v>
      </c>
      <c r="H9" s="16" t="n">
        <v>280.4</v>
      </c>
      <c r="I9" s="17" t="s">
        <v>16</v>
      </c>
    </row>
    <row r="10" customFormat="false" ht="20.25" hidden="false" customHeight="true" outlineLevel="0" collapsed="false">
      <c r="A10" s="11" t="s">
        <v>24</v>
      </c>
      <c r="B10" s="12" t="s">
        <v>12</v>
      </c>
      <c r="C10" s="12" t="s">
        <v>17</v>
      </c>
      <c r="D10" s="13" t="n">
        <v>28670</v>
      </c>
      <c r="E10" s="14" t="s">
        <v>20</v>
      </c>
      <c r="F10" s="14" t="s">
        <v>26</v>
      </c>
      <c r="G10" s="15" t="n">
        <f aca="false">'Base numérica'!G7/'Base numérica'!H7</f>
        <v>0.344062407769231</v>
      </c>
      <c r="H10" s="16" t="n">
        <v>304.5504446086</v>
      </c>
      <c r="I10" s="17" t="s">
        <v>27</v>
      </c>
    </row>
    <row r="11" customFormat="false" ht="20.25" hidden="false" customHeight="true" outlineLevel="0" collapsed="false">
      <c r="A11" s="18" t="s">
        <v>24</v>
      </c>
      <c r="B11" s="19" t="s">
        <v>19</v>
      </c>
      <c r="C11" s="19" t="s">
        <v>13</v>
      </c>
      <c r="D11" s="20" t="n">
        <v>28416</v>
      </c>
      <c r="E11" s="21" t="s">
        <v>14</v>
      </c>
      <c r="F11" s="21" t="s">
        <v>28</v>
      </c>
      <c r="G11" s="22" t="n">
        <f aca="false">'Base numérica'!G8/'Base numérica'!H8</f>
        <v>0.452953103342308</v>
      </c>
      <c r="H11" s="23" t="n">
        <v>256.7291477068</v>
      </c>
      <c r="I11" s="24" t="s">
        <v>16</v>
      </c>
    </row>
    <row r="12" customFormat="false" ht="20.25" hidden="false" customHeight="true" outlineLevel="0" collapsed="false">
      <c r="A12" s="25" t="s">
        <v>24</v>
      </c>
      <c r="B12" s="26" t="s">
        <v>19</v>
      </c>
      <c r="C12" s="26" t="s">
        <v>17</v>
      </c>
      <c r="D12" s="27" t="n">
        <v>28670</v>
      </c>
      <c r="E12" s="28" t="s">
        <v>29</v>
      </c>
      <c r="F12" s="28" t="s">
        <v>30</v>
      </c>
      <c r="G12" s="29" t="n">
        <f aca="false">'Base numérica'!G9/'Base numérica'!H9</f>
        <v>0.52566606745</v>
      </c>
      <c r="H12" s="30" t="n">
        <v>252.2544111227</v>
      </c>
      <c r="I12" s="31" t="s">
        <v>31</v>
      </c>
    </row>
    <row r="14" customFormat="false" ht="33" hidden="false" customHeight="true" outlineLevel="0" collapsed="false">
      <c r="A14" s="32" t="s">
        <v>32</v>
      </c>
      <c r="B14" s="32"/>
      <c r="C14" s="32"/>
      <c r="D14" s="32"/>
      <c r="E14" s="32"/>
      <c r="F14" s="32"/>
      <c r="G14" s="32"/>
      <c r="H14" s="32"/>
      <c r="I14" s="32"/>
    </row>
  </sheetData>
  <mergeCells count="3">
    <mergeCell ref="A1:I1"/>
    <mergeCell ref="A2:I2"/>
    <mergeCell ref="A14:I14"/>
  </mergeCells>
  <conditionalFormatting sqref="I5:I12">
    <cfRule type="containsText" priority="2" operator="containsText" aboveAverage="0" equalAverage="0" bottom="0" percent="0" rank="0" text="Nenhum" dxfId="0">
      <formula>NOT(ISERROR(SEARCH("Nenhum",I5)))</formula>
    </cfRule>
    <cfRule type="notContainsText" priority="3" operator="notContains" aboveAverage="0" equalAverage="0" bottom="0" percent="0" rank="0" text="Nenhum" dxfId="1">
      <formula>ISERROR(SEARCH("Nenhum",I5))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6" activeCellId="0" sqref="G6"/>
    </sheetView>
  </sheetViews>
  <sheetFormatPr defaultColWidth="8.54296875" defaultRowHeight="15" customHeight="true" zeroHeight="false" outlineLevelRow="0" outlineLevelCol="0"/>
  <cols>
    <col collapsed="false" customWidth="true" hidden="false" outlineLevel="0" max="1" min="1" style="0" width="10.25"/>
    <col collapsed="false" customWidth="true" hidden="false" outlineLevel="0" max="2" min="2" style="0" width="16.89"/>
    <col collapsed="false" customWidth="true" hidden="false" outlineLevel="0" max="3" min="3" style="0" width="11.89"/>
    <col collapsed="false" customWidth="true" hidden="false" outlineLevel="0" max="4" min="4" style="0" width="9"/>
    <col collapsed="false" customWidth="true" hidden="false" outlineLevel="0" max="6" min="5" style="0" width="10.25"/>
    <col collapsed="false" customWidth="true" hidden="false" outlineLevel="0" max="7" min="7" style="0" width="13.13"/>
    <col collapsed="false" customWidth="true" hidden="false" outlineLevel="0" max="8" min="8" style="0" width="11.89"/>
    <col collapsed="false" customWidth="true" hidden="false" outlineLevel="0" max="9" min="9" style="0" width="15.63"/>
    <col collapsed="false" customWidth="true" hidden="false" outlineLevel="0" max="10" min="10" style="0" width="13.75"/>
  </cols>
  <sheetData>
    <row r="1" customFormat="false" ht="18.75" hidden="false" customHeight="true" outlineLevel="0" collapsed="false">
      <c r="A1" s="33" t="s">
        <v>2</v>
      </c>
      <c r="B1" s="33" t="s">
        <v>3</v>
      </c>
      <c r="C1" s="33" t="s">
        <v>4</v>
      </c>
      <c r="D1" s="33" t="s">
        <v>5</v>
      </c>
      <c r="E1" s="33" t="s">
        <v>33</v>
      </c>
      <c r="F1" s="33" t="s">
        <v>34</v>
      </c>
      <c r="G1" s="33" t="s">
        <v>7</v>
      </c>
      <c r="H1" s="33" t="s">
        <v>35</v>
      </c>
      <c r="I1" s="33" t="s">
        <v>9</v>
      </c>
      <c r="J1" s="33" t="s">
        <v>10</v>
      </c>
    </row>
    <row r="2" customFormat="false" ht="18.75" hidden="false" customHeight="true" outlineLevel="0" collapsed="false">
      <c r="A2" s="34" t="s">
        <v>11</v>
      </c>
      <c r="B2" s="34" t="s">
        <v>12</v>
      </c>
      <c r="C2" s="34" t="s">
        <v>13</v>
      </c>
      <c r="D2" s="35" t="n">
        <v>30031</v>
      </c>
      <c r="E2" s="35" t="n">
        <v>26</v>
      </c>
      <c r="F2" s="35" t="n">
        <v>26</v>
      </c>
      <c r="G2" s="36" t="n">
        <v>8.5233924944</v>
      </c>
      <c r="H2" s="37" t="n">
        <v>26</v>
      </c>
      <c r="I2" s="38" t="n">
        <v>293.4270095289</v>
      </c>
      <c r="J2" s="39" t="s">
        <v>16</v>
      </c>
    </row>
    <row r="3" customFormat="false" ht="18.75" hidden="false" customHeight="true" outlineLevel="0" collapsed="false">
      <c r="A3" s="34" t="s">
        <v>11</v>
      </c>
      <c r="B3" s="34" t="s">
        <v>12</v>
      </c>
      <c r="C3" s="34" t="s">
        <v>17</v>
      </c>
      <c r="D3" s="35" t="n">
        <v>30242</v>
      </c>
      <c r="E3" s="35" t="n">
        <v>26</v>
      </c>
      <c r="F3" s="35" t="n">
        <v>26</v>
      </c>
      <c r="G3" s="36" t="n">
        <v>9.3555320415</v>
      </c>
      <c r="H3" s="37" t="n">
        <v>26</v>
      </c>
      <c r="I3" s="38" t="n">
        <v>303.5508202704</v>
      </c>
      <c r="J3" s="39" t="s">
        <v>16</v>
      </c>
    </row>
    <row r="4" customFormat="false" ht="18.75" hidden="false" customHeight="true" outlineLevel="0" collapsed="false">
      <c r="A4" s="34" t="s">
        <v>11</v>
      </c>
      <c r="B4" s="34" t="s">
        <v>19</v>
      </c>
      <c r="C4" s="34" t="s">
        <v>13</v>
      </c>
      <c r="D4" s="35" t="n">
        <v>30031</v>
      </c>
      <c r="E4" s="35" t="n">
        <v>26</v>
      </c>
      <c r="F4" s="35" t="n">
        <v>25</v>
      </c>
      <c r="G4" s="36" t="n">
        <v>13.0997635776</v>
      </c>
      <c r="H4" s="37" t="n">
        <v>26</v>
      </c>
      <c r="I4" s="38" t="n">
        <v>234.6105697797</v>
      </c>
      <c r="J4" s="39" t="s">
        <v>22</v>
      </c>
    </row>
    <row r="5" customFormat="false" ht="18.75" hidden="false" customHeight="true" outlineLevel="0" collapsed="false">
      <c r="A5" s="34" t="s">
        <v>11</v>
      </c>
      <c r="B5" s="34" t="s">
        <v>19</v>
      </c>
      <c r="C5" s="34" t="s">
        <v>17</v>
      </c>
      <c r="D5" s="35" t="n">
        <v>30242</v>
      </c>
      <c r="E5" s="35" t="n">
        <v>26</v>
      </c>
      <c r="F5" s="35" t="n">
        <v>26</v>
      </c>
      <c r="G5" s="36" t="n">
        <v>13.4795979102</v>
      </c>
      <c r="H5" s="37" t="n">
        <v>26</v>
      </c>
      <c r="I5" s="38" t="n">
        <v>243.5044394301</v>
      </c>
      <c r="J5" s="39" t="s">
        <v>16</v>
      </c>
    </row>
    <row r="6" customFormat="false" ht="18.75" hidden="false" customHeight="true" outlineLevel="0" collapsed="false">
      <c r="A6" s="34" t="s">
        <v>24</v>
      </c>
      <c r="B6" s="34" t="s">
        <v>12</v>
      </c>
      <c r="C6" s="34" t="s">
        <v>13</v>
      </c>
      <c r="D6" s="35" t="n">
        <v>28416</v>
      </c>
      <c r="E6" s="35" t="n">
        <v>26</v>
      </c>
      <c r="F6" s="35" t="n">
        <v>26</v>
      </c>
      <c r="G6" s="36" t="n">
        <v>8.4973254505</v>
      </c>
      <c r="H6" s="37" t="n">
        <v>26</v>
      </c>
      <c r="I6" s="38" t="n">
        <v>280.4</v>
      </c>
      <c r="J6" s="39" t="s">
        <v>16</v>
      </c>
    </row>
    <row r="7" customFormat="false" ht="18.75" hidden="false" customHeight="true" outlineLevel="0" collapsed="false">
      <c r="A7" s="34" t="s">
        <v>24</v>
      </c>
      <c r="B7" s="34" t="s">
        <v>12</v>
      </c>
      <c r="C7" s="34" t="s">
        <v>17</v>
      </c>
      <c r="D7" s="35" t="n">
        <v>28670</v>
      </c>
      <c r="E7" s="35" t="n">
        <v>26</v>
      </c>
      <c r="F7" s="35" t="n">
        <v>25</v>
      </c>
      <c r="G7" s="36" t="n">
        <v>8.945622602</v>
      </c>
      <c r="H7" s="37" t="n">
        <v>26</v>
      </c>
      <c r="I7" s="38" t="n">
        <v>304.5504446086</v>
      </c>
      <c r="J7" s="39" t="s">
        <v>27</v>
      </c>
    </row>
    <row r="8" customFormat="false" ht="18.75" hidden="false" customHeight="true" outlineLevel="0" collapsed="false">
      <c r="A8" s="34" t="s">
        <v>24</v>
      </c>
      <c r="B8" s="34" t="s">
        <v>19</v>
      </c>
      <c r="C8" s="34" t="s">
        <v>13</v>
      </c>
      <c r="D8" s="35" t="n">
        <v>28416</v>
      </c>
      <c r="E8" s="35" t="n">
        <v>26</v>
      </c>
      <c r="F8" s="35" t="n">
        <v>26</v>
      </c>
      <c r="G8" s="36" t="n">
        <v>11.7767806869</v>
      </c>
      <c r="H8" s="37" t="n">
        <v>26</v>
      </c>
      <c r="I8" s="38" t="n">
        <v>256.7291477068</v>
      </c>
      <c r="J8" s="39" t="s">
        <v>16</v>
      </c>
    </row>
    <row r="9" customFormat="false" ht="18.75" hidden="false" customHeight="true" outlineLevel="0" collapsed="false">
      <c r="A9" s="34" t="s">
        <v>24</v>
      </c>
      <c r="B9" s="34" t="s">
        <v>19</v>
      </c>
      <c r="C9" s="34" t="s">
        <v>17</v>
      </c>
      <c r="D9" s="35" t="n">
        <v>28670</v>
      </c>
      <c r="E9" s="35" t="n">
        <v>26</v>
      </c>
      <c r="F9" s="35" t="n">
        <v>23</v>
      </c>
      <c r="G9" s="36" t="n">
        <v>13.6673177537</v>
      </c>
      <c r="H9" s="37" t="n">
        <v>26</v>
      </c>
      <c r="I9" s="38" t="n">
        <v>252.2544111227</v>
      </c>
      <c r="J9" s="39" t="s">
        <v>31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2026-06-22T12:42:08Z</dcterms:modified>
  <cp:revision>1</cp:revision>
  <dc:subject/>
  <dc:title/>
</cp:coreProperties>
</file>