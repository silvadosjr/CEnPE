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MT_2EM_S4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<sst xmlns="http://schemas.openxmlformats.org/spreadsheetml/2006/main" count="85" uniqueCount="49">
  <si>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</si>
  <si>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</si>
  <si>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</si>
  <si>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</si>
  <si>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</si>
  <si>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</si>
  <si>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</si>
  <si>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</si>
  <si>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E</t>
  </si>
  <si>
    <t xml:space="preserve">A</t>
  </si>
  <si>
    <t xml:space="preserve">B</t>
  </si>
  <si>
    <t xml:space="preserve">D</t>
  </si>
  <si>
    <t xml:space="preserve">C</t>
  </si>
  <si>
    <t xml:space="preserve">AVF2501 q10</t>
  </si>
  <si>
    <t xml:space="preserve">AVF2501 q03</t>
  </si>
  <si>
    <t xml:space="preserve">AVF2501 q04</t>
  </si>
  <si>
    <t xml:space="preserve">AVF2501 q05</t>
  </si>
  <si>
    <t xml:space="preserve">AVF2501 q07</t>
  </si>
  <si>
    <t xml:space="preserve">AVF260121 q27</t>
  </si>
  <si>
    <t xml:space="preserve">AVF260121 q28</t>
  </si>
  <si>
    <t xml:space="preserve">AVF260121 q29</t>
  </si>
  <si>
    <t xml:space="preserve">AVF260121 q31</t>
  </si>
  <si>
    <t xml:space="preserve">rpa_001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</si>
  <si>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</si>
  <si>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</si>
  <si>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</si>
  <si>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</si>
  <si>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</si>
  <si>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</si>
  <si>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</si>
  <si>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</si>
  <si>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Sim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</si>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</sst>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"/>
    <numFmt numFmtId="167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3" xfId="22"/>
    <cellStyle name="Normal 3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0" width="13"/>
    <col collapsed="false" customWidth="true" hidden="false" outlineLevel="0" max="7" min="3" style="1" width="13"/>
    <col collapsed="false" customWidth="true" hidden="false" outlineLevel="0" max="8" min="8" style="1" width="35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customFormat="false" ht="15" hidden="false" customHeight="false" outlineLevel="0" collapsed="false">
      <c r="A2" s="0" t="n">
        <f aca="false">1</f>
        <v>1</v>
      </c>
      <c r="B2" s="0" t="s">
        <v>8</v>
      </c>
      <c r="E2" s="4"/>
      <c r="F2" s="4"/>
      <c r="G2" s="4"/>
      <c r="I2" s="5" t="n">
        <f aca="false">26+A2</f>
        <v>27</v>
      </c>
    </row>
    <row r="3" customFormat="false" ht="15" hidden="false" customHeight="false" outlineLevel="0" collapsed="false">
      <c r="A3" s="0" t="n">
        <f aca="false">A2+1</f>
        <v>2</v>
      </c>
      <c r="B3" s="0" t="s">
        <v>9</v>
      </c>
      <c r="E3" s="4"/>
      <c r="F3" s="4"/>
      <c r="G3" s="4"/>
      <c r="I3" s="5" t="n">
        <f aca="false">26+A3</f>
        <v>28</v>
      </c>
    </row>
    <row r="4" customFormat="false" ht="15" hidden="false" customHeight="false" outlineLevel="0" collapsed="false">
      <c r="A4" s="0" t="n">
        <f aca="false">A3+1</f>
        <v>3</v>
      </c>
      <c r="B4" s="0" t="s">
        <v>10</v>
      </c>
      <c r="I4" s="5" t="n">
        <f aca="false">26+A4</f>
        <v>29</v>
      </c>
    </row>
    <row r="5" customFormat="false" ht="15" hidden="false" customHeight="false" outlineLevel="0" collapsed="false">
      <c r="A5" s="0" t="n">
        <f aca="false">A4+1</f>
        <v>4</v>
      </c>
      <c r="B5" s="0" t="s">
        <v>9</v>
      </c>
      <c r="D5" s="6"/>
      <c r="E5" s="6"/>
      <c r="F5" s="6"/>
      <c r="G5" s="6"/>
      <c r="H5" s="7"/>
      <c r="I5" s="5" t="n">
        <f aca="false">26+A5</f>
        <v>30</v>
      </c>
    </row>
    <row r="6" customFormat="false" ht="15" hidden="false" customHeight="false" outlineLevel="0" collapsed="false">
      <c r="A6" s="0" t="n">
        <f aca="false">A5+1</f>
        <v>5</v>
      </c>
      <c r="B6" s="0" t="s">
        <v>11</v>
      </c>
      <c r="D6" s="6"/>
      <c r="E6" s="6"/>
      <c r="F6" s="6"/>
      <c r="G6" s="6"/>
      <c r="H6" s="7"/>
      <c r="I6" s="5" t="n">
        <f aca="false">26+A6</f>
        <v>31</v>
      </c>
    </row>
    <row r="7" customFormat="false" ht="15" hidden="false" customHeight="false" outlineLevel="0" collapsed="false">
      <c r="A7" s="0" t="n">
        <f aca="false">A6+1</f>
        <v>6</v>
      </c>
      <c r="B7" s="0" t="s">
        <v>11</v>
      </c>
      <c r="I7" s="5" t="n">
        <f aca="false">26+A7</f>
        <v>32</v>
      </c>
    </row>
    <row r="8" customFormat="false" ht="15" hidden="false" customHeight="false" outlineLevel="0" collapsed="false">
      <c r="A8" s="0" t="n">
        <f aca="false">A7+1</f>
        <v>7</v>
      </c>
      <c r="B8" s="0" t="s">
        <v>12</v>
      </c>
      <c r="I8" s="5" t="n">
        <f aca="false">26+A8</f>
        <v>33</v>
      </c>
    </row>
    <row r="9" customFormat="false" ht="15" hidden="false" customHeight="false" outlineLevel="0" collapsed="false">
      <c r="A9" s="0" t="n">
        <f aca="false">A8+1</f>
        <v>8</v>
      </c>
      <c r="B9" s="0" t="s">
        <v>9</v>
      </c>
      <c r="I9" s="5" t="n">
        <f aca="false">26+A9</f>
        <v>34</v>
      </c>
    </row>
    <row r="10" customFormat="false" ht="15" hidden="false" customHeight="false" outlineLevel="0" collapsed="false">
      <c r="A10" s="0" t="n">
        <f aca="false">A9+1</f>
        <v>9</v>
      </c>
      <c r="B10" s="0" t="s">
        <v>10</v>
      </c>
      <c r="C10" s="8" t="n">
        <v>2.306</v>
      </c>
      <c r="D10" s="8" t="n">
        <v>2.331</v>
      </c>
      <c r="E10" s="8" t="n">
        <v>0.046</v>
      </c>
      <c r="F10" s="8" t="n">
        <v>366.536</v>
      </c>
      <c r="G10" s="8" t="n">
        <v>0.18</v>
      </c>
      <c r="H10" s="1" t="s">
        <v>13</v>
      </c>
      <c r="I10" s="5" t="n">
        <f aca="false">26+A10</f>
        <v>35</v>
      </c>
    </row>
    <row r="11" customFormat="false" ht="15" hidden="false" customHeight="false" outlineLevel="0" collapsed="false">
      <c r="A11" s="0" t="n">
        <f aca="false">A10+1</f>
        <v>10</v>
      </c>
      <c r="B11" s="0" t="s">
        <v>12</v>
      </c>
      <c r="C11" s="8" t="n">
        <v>1.227</v>
      </c>
      <c r="D11" s="8" t="n">
        <v>2.084</v>
      </c>
      <c r="E11" s="8" t="n">
        <v>0.025</v>
      </c>
      <c r="F11" s="8" t="n">
        <v>354.181</v>
      </c>
      <c r="G11" s="8" t="n">
        <v>0.092</v>
      </c>
      <c r="H11" s="1" t="s">
        <v>14</v>
      </c>
      <c r="I11" s="5" t="n">
        <f aca="false">26+A11</f>
        <v>36</v>
      </c>
    </row>
    <row r="12" customFormat="false" ht="15" hidden="false" customHeight="false" outlineLevel="0" collapsed="false">
      <c r="A12" s="0" t="n">
        <f aca="false">A11+1</f>
        <v>11</v>
      </c>
      <c r="B12" s="0" t="s">
        <v>12</v>
      </c>
      <c r="C12" s="8" t="n">
        <v>0.784</v>
      </c>
      <c r="D12" s="8" t="n">
        <v>2.395</v>
      </c>
      <c r="E12" s="8" t="n">
        <v>0.016</v>
      </c>
      <c r="F12" s="8" t="n">
        <v>369.75</v>
      </c>
      <c r="G12" s="8" t="n">
        <v>0.033</v>
      </c>
      <c r="H12" s="1" t="s">
        <v>15</v>
      </c>
      <c r="I12" s="5" t="n">
        <f aca="false">26+A12</f>
        <v>37</v>
      </c>
    </row>
    <row r="13" customFormat="false" ht="15" hidden="false" customHeight="false" outlineLevel="0" collapsed="false">
      <c r="A13" s="0" t="n">
        <f aca="false">A12+1</f>
        <v>12</v>
      </c>
      <c r="B13" s="0" t="s">
        <v>11</v>
      </c>
      <c r="C13" s="8" t="n">
        <v>2.248</v>
      </c>
      <c r="D13" s="8" t="n">
        <v>3.198</v>
      </c>
      <c r="E13" s="8" t="n">
        <v>0.045</v>
      </c>
      <c r="F13" s="8" t="n">
        <v>409.924</v>
      </c>
      <c r="G13" s="8" t="n">
        <v>0.167</v>
      </c>
      <c r="H13" s="1" t="s">
        <v>16</v>
      </c>
      <c r="I13" s="5" t="n">
        <f aca="false">26+A13</f>
        <v>38</v>
      </c>
    </row>
    <row r="14" customFormat="false" ht="15" hidden="false" customHeight="false" outlineLevel="0" collapsed="false">
      <c r="A14" s="0" t="n">
        <f aca="false">A13+1</f>
        <v>13</v>
      </c>
      <c r="B14" s="0" t="s">
        <v>12</v>
      </c>
      <c r="C14" s="8" t="n">
        <v>1.553</v>
      </c>
      <c r="D14" s="8" t="n">
        <v>2.859</v>
      </c>
      <c r="E14" s="8" t="n">
        <v>0.031</v>
      </c>
      <c r="F14" s="8" t="n">
        <v>392.932</v>
      </c>
      <c r="G14" s="8" t="n">
        <v>0.127</v>
      </c>
      <c r="H14" s="1" t="s">
        <v>17</v>
      </c>
      <c r="I14" s="5" t="n">
        <f aca="false">26+A14</f>
        <v>39</v>
      </c>
    </row>
    <row r="15" customFormat="false" ht="15" hidden="false" customHeight="false" outlineLevel="0" collapsed="false">
      <c r="A15" s="0" t="n">
        <f aca="false">A14+1</f>
        <v>14</v>
      </c>
      <c r="B15" s="0" t="s">
        <v>11</v>
      </c>
      <c r="C15" s="9" t="n">
        <v>0.925223450231358</v>
      </c>
      <c r="D15" s="9" t="n">
        <v>2.12338663586421</v>
      </c>
      <c r="E15" s="9" t="n">
        <v>0.0185044690046272</v>
      </c>
      <c r="F15" s="9" t="n">
        <v>356.16933179321</v>
      </c>
      <c r="G15" s="9" t="n">
        <v>0.129952511540131</v>
      </c>
      <c r="H15" s="7" t="s">
        <v>18</v>
      </c>
      <c r="I15" s="5" t="n">
        <f aca="false">26+A15</f>
        <v>40</v>
      </c>
    </row>
    <row r="16" customFormat="false" ht="15" hidden="false" customHeight="false" outlineLevel="0" collapsed="false">
      <c r="A16" s="0" t="n">
        <f aca="false">A15+1</f>
        <v>15</v>
      </c>
      <c r="B16" s="0" t="s">
        <v>10</v>
      </c>
      <c r="C16" s="9" t="n">
        <v>2.49051383072216</v>
      </c>
      <c r="D16" s="9" t="n">
        <v>2.41282932451152</v>
      </c>
      <c r="E16" s="9" t="n">
        <v>0.0498102766144432</v>
      </c>
      <c r="F16" s="9" t="n">
        <v>370.641466225576</v>
      </c>
      <c r="G16" s="9" t="n">
        <v>0.194666940573286</v>
      </c>
      <c r="H16" s="7" t="s">
        <v>19</v>
      </c>
      <c r="I16" s="5" t="n">
        <f aca="false">26+A16</f>
        <v>41</v>
      </c>
    </row>
    <row r="17" customFormat="false" ht="15" hidden="false" customHeight="false" outlineLevel="0" collapsed="false">
      <c r="A17" s="0" t="n">
        <f aca="false">A16+1</f>
        <v>16</v>
      </c>
      <c r="B17" s="0" t="s">
        <v>11</v>
      </c>
      <c r="C17" s="9" t="n">
        <v>2.09373085760356</v>
      </c>
      <c r="D17" s="9" t="n">
        <v>2.80358134796504</v>
      </c>
      <c r="E17" s="9" t="n">
        <v>0.0418746171520712</v>
      </c>
      <c r="F17" s="9" t="n">
        <v>390.179067398252</v>
      </c>
      <c r="G17" s="9" t="n">
        <v>0.19288634374895</v>
      </c>
      <c r="H17" s="1" t="s">
        <v>20</v>
      </c>
      <c r="I17" s="5" t="n">
        <f aca="false">26+A17</f>
        <v>42</v>
      </c>
    </row>
    <row r="18" customFormat="false" ht="15" hidden="false" customHeight="false" outlineLevel="0" collapsed="false">
      <c r="A18" s="0" t="n">
        <f aca="false">A17+1</f>
        <v>17</v>
      </c>
      <c r="B18" s="0" t="s">
        <v>10</v>
      </c>
      <c r="C18" s="9" t="n">
        <v>0.5384771</v>
      </c>
      <c r="D18" s="9" t="n">
        <v>3.985406</v>
      </c>
      <c r="E18" s="9" t="n">
        <v>0.010769542</v>
      </c>
      <c r="F18" s="9" t="n">
        <v>449.2703</v>
      </c>
      <c r="G18" s="9" t="n">
        <v>0.0732108400000001</v>
      </c>
      <c r="H18" s="1" t="s">
        <v>21</v>
      </c>
      <c r="I18" s="5" t="n">
        <f aca="false">26+A18</f>
        <v>43</v>
      </c>
    </row>
    <row r="19" customFormat="false" ht="15" hidden="false" customHeight="false" outlineLevel="0" collapsed="false">
      <c r="A19" s="0" t="n">
        <f aca="false">A18+1</f>
        <v>18</v>
      </c>
      <c r="B19" s="0" t="s">
        <v>9</v>
      </c>
      <c r="C19" s="10"/>
      <c r="D19" s="9"/>
      <c r="E19" s="9"/>
      <c r="F19" s="9"/>
      <c r="G19" s="9"/>
      <c r="I19" s="5" t="n">
        <f aca="false">26+A19</f>
        <v>44</v>
      </c>
    </row>
    <row r="20" customFormat="false" ht="15" hidden="false" customHeight="false" outlineLevel="0" collapsed="false">
      <c r="A20" s="0" t="n">
        <f aca="false">A19+1</f>
        <v>19</v>
      </c>
      <c r="B20" s="0" t="s">
        <v>11</v>
      </c>
      <c r="I20" s="5" t="n">
        <f aca="false">26+A20</f>
        <v>45</v>
      </c>
    </row>
    <row r="21" customFormat="false" ht="15" hidden="false" customHeight="false" outlineLevel="0" collapsed="false">
      <c r="A21" s="0" t="n">
        <f aca="false">A20+1</f>
        <v>20</v>
      </c>
      <c r="B21" s="0" t="s">
        <v>8</v>
      </c>
      <c r="D21" s="6"/>
      <c r="E21" s="6"/>
      <c r="F21" s="6"/>
      <c r="G21" s="6"/>
      <c r="H21" s="7"/>
      <c r="I21" s="5" t="n">
        <f aca="false">26+A21</f>
        <v>46</v>
      </c>
    </row>
    <row r="22" customFormat="false" ht="15" hidden="false" customHeight="false" outlineLevel="0" collapsed="false">
      <c r="A22" s="0" t="n">
        <f aca="false">A21+1</f>
        <v>21</v>
      </c>
      <c r="B22" s="0" t="s">
        <v>8</v>
      </c>
      <c r="I22" s="5" t="n">
        <f aca="false">26+A22</f>
        <v>47</v>
      </c>
    </row>
    <row r="23" customFormat="false" ht="15" hidden="false" customHeight="false" outlineLevel="0" collapsed="false">
      <c r="A23" s="0" t="n">
        <f aca="false">A22+1</f>
        <v>22</v>
      </c>
      <c r="B23" s="0" t="s">
        <v>8</v>
      </c>
      <c r="I23" s="5" t="n">
        <f aca="false">26+A23</f>
        <v>48</v>
      </c>
    </row>
    <row r="24" customFormat="false" ht="15" hidden="false" customHeight="false" outlineLevel="0" collapsed="false">
      <c r="A24" s="0" t="n">
        <f aca="false">A23+1</f>
        <v>23</v>
      </c>
      <c r="B24" s="0" t="s">
        <v>12</v>
      </c>
      <c r="I24" s="5" t="n">
        <f aca="false">26+A24</f>
        <v>49</v>
      </c>
    </row>
    <row r="25" customFormat="false" ht="15" hidden="false" customHeight="false" outlineLevel="0" collapsed="false">
      <c r="A25" s="0" t="n">
        <f aca="false">A24+1</f>
        <v>24</v>
      </c>
      <c r="B25" s="0" t="s">
        <v>8</v>
      </c>
      <c r="I25" s="5" t="n">
        <f aca="false">26+A25</f>
        <v>50</v>
      </c>
    </row>
    <row r="26" customFormat="false" ht="15" hidden="false" customHeight="false" outlineLevel="0" collapsed="false">
      <c r="A26" s="0" t="n">
        <f aca="false">A25+1</f>
        <v>25</v>
      </c>
      <c r="B26" s="0" t="s">
        <v>9</v>
      </c>
      <c r="I26" s="5" t="n">
        <f aca="false">26+A26</f>
        <v>51</v>
      </c>
    </row>
    <row r="27" customFormat="false" ht="15" hidden="false" customHeight="false" outlineLevel="0" collapsed="false">
      <c r="A27" s="0" t="n">
        <f aca="false">A26+1</f>
        <v>26</v>
      </c>
      <c r="B27" s="0" t="s">
        <v>11</v>
      </c>
      <c r="I27" s="5" t="n">
        <f aca="false">26+A27</f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19" activeCellId="0" sqref="I19"/>
    </sheetView>
  </sheetViews>
  <sheetFormatPr defaultColWidth="11.53515625" defaultRowHeight="13.8" customHeight="true" zeroHeight="false" outlineLevelRow="0" outlineLevelCol="0"/>
  <sheetData>
    <row r="1" customFormat="false" ht="13.8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customFormat="false" ht="13.8" hidden="false" customHeight="false" outlineLevel="0" collapsed="false">
      <c r="A2" s="0" t="s">
        <v>22</v>
      </c>
      <c r="B2" s="1"/>
      <c r="C2" s="1"/>
      <c r="D2" s="4"/>
      <c r="E2" s="4"/>
      <c r="F2" s="4"/>
      <c r="G2" s="1"/>
    </row>
    <row r="3" customFormat="false" ht="13.8" hidden="false" customHeight="false" outlineLevel="0" collapsed="false">
      <c r="A3" s="0" t="s">
        <v>23</v>
      </c>
      <c r="B3" s="1"/>
      <c r="C3" s="1"/>
      <c r="D3" s="4"/>
      <c r="E3" s="4"/>
      <c r="F3" s="4"/>
      <c r="G3" s="1"/>
    </row>
    <row r="4" customFormat="false" ht="13.8" hidden="false" customHeight="false" outlineLevel="0" collapsed="false">
      <c r="A4" s="0" t="s">
        <v>24</v>
      </c>
      <c r="B4" s="1"/>
      <c r="C4" s="1"/>
      <c r="D4" s="1"/>
      <c r="E4" s="1"/>
      <c r="F4" s="1"/>
      <c r="G4" s="1"/>
    </row>
    <row r="5" customFormat="false" ht="13.8" hidden="false" customHeight="false" outlineLevel="0" collapsed="false">
      <c r="A5" s="0" t="s">
        <v>25</v>
      </c>
      <c r="B5" s="1"/>
      <c r="C5" s="6"/>
      <c r="D5" s="6"/>
      <c r="E5" s="6"/>
      <c r="F5" s="6"/>
      <c r="G5" s="7"/>
    </row>
    <row r="6" customFormat="false" ht="13.8" hidden="false" customHeight="false" outlineLevel="0" collapsed="false">
      <c r="A6" s="0" t="s">
        <v>26</v>
      </c>
      <c r="B6" s="1"/>
      <c r="C6" s="6"/>
      <c r="D6" s="6"/>
      <c r="E6" s="6"/>
      <c r="F6" s="6"/>
      <c r="G6" s="7"/>
    </row>
    <row r="7" customFormat="false" ht="13.8" hidden="false" customHeight="false" outlineLevel="0" collapsed="false">
      <c r="A7" s="0" t="s">
        <v>27</v>
      </c>
      <c r="B7" s="1"/>
      <c r="C7" s="1"/>
      <c r="D7" s="1"/>
      <c r="E7" s="1"/>
      <c r="F7" s="1"/>
      <c r="G7" s="1"/>
    </row>
    <row r="8" customFormat="false" ht="13.8" hidden="false" customHeight="false" outlineLevel="0" collapsed="false">
      <c r="A8" s="0" t="s">
        <v>28</v>
      </c>
      <c r="B8" s="1"/>
      <c r="C8" s="1"/>
      <c r="D8" s="1"/>
      <c r="E8" s="1"/>
      <c r="F8" s="1"/>
      <c r="G8" s="1"/>
    </row>
    <row r="9" customFormat="false" ht="13.8" hidden="false" customHeight="false" outlineLevel="0" collapsed="false">
      <c r="A9" s="0" t="s">
        <v>29</v>
      </c>
      <c r="B9" s="1"/>
      <c r="C9" s="1"/>
      <c r="D9" s="1"/>
      <c r="E9" s="1"/>
      <c r="F9" s="1"/>
      <c r="G9" s="1"/>
    </row>
    <row r="10" customFormat="false" ht="13.8" hidden="false" customHeight="false" outlineLevel="0" collapsed="false">
      <c r="A10" s="0" t="s">
        <v>30</v>
      </c>
      <c r="B10" s="8" t="n">
        <v>2.306</v>
      </c>
      <c r="C10" s="8" t="n">
        <v>2.331</v>
      </c>
      <c r="D10" s="8" t="n">
        <v>0.046</v>
      </c>
      <c r="E10" s="8" t="n">
        <v>366.536</v>
      </c>
      <c r="F10" s="8" t="n">
        <v>0.18</v>
      </c>
      <c r="G10" s="1" t="s">
        <v>31</v>
      </c>
    </row>
    <row r="11" customFormat="false" ht="13.8" hidden="false" customHeight="false" outlineLevel="0" collapsed="false">
      <c r="A11" s="0" t="s">
        <v>32</v>
      </c>
      <c r="B11" s="8" t="n">
        <v>1.227</v>
      </c>
      <c r="C11" s="8" t="n">
        <v>2.084</v>
      </c>
      <c r="D11" s="8" t="n">
        <v>0.025</v>
      </c>
      <c r="E11" s="8" t="n">
        <v>354.181</v>
      </c>
      <c r="F11" s="8" t="n">
        <v>0.092</v>
      </c>
      <c r="G11" s="1" t="s">
        <v>31</v>
      </c>
    </row>
    <row r="12" customFormat="false" ht="13.8" hidden="false" customHeight="false" outlineLevel="0" collapsed="false">
      <c r="A12" s="0" t="s">
        <v>33</v>
      </c>
      <c r="B12" s="8" t="n">
        <v>0.784</v>
      </c>
      <c r="C12" s="8" t="n">
        <v>2.395</v>
      </c>
      <c r="D12" s="8" t="n">
        <v>0.016</v>
      </c>
      <c r="E12" s="8" t="n">
        <v>369.75</v>
      </c>
      <c r="F12" s="8" t="n">
        <v>0.033</v>
      </c>
      <c r="G12" s="1" t="s">
        <v>31</v>
      </c>
    </row>
    <row r="13" customFormat="false" ht="13.8" hidden="false" customHeight="false" outlineLevel="0" collapsed="false">
      <c r="A13" s="0" t="s">
        <v>34</v>
      </c>
      <c r="B13" s="8" t="n">
        <v>2.248</v>
      </c>
      <c r="C13" s="8" t="n">
        <v>3.198</v>
      </c>
      <c r="D13" s="8" t="n">
        <v>0.045</v>
      </c>
      <c r="E13" s="8" t="n">
        <v>409.924</v>
      </c>
      <c r="F13" s="8" t="n">
        <v>0.167</v>
      </c>
      <c r="G13" s="1" t="s">
        <v>31</v>
      </c>
    </row>
    <row r="14" customFormat="false" ht="13.8" hidden="false" customHeight="false" outlineLevel="0" collapsed="false">
      <c r="A14" s="0" t="s">
        <v>35</v>
      </c>
      <c r="B14" s="8" t="n">
        <v>1.553</v>
      </c>
      <c r="C14" s="8" t="n">
        <v>2.859</v>
      </c>
      <c r="D14" s="8" t="n">
        <v>0.031</v>
      </c>
      <c r="E14" s="8" t="n">
        <v>392.932</v>
      </c>
      <c r="F14" s="8" t="n">
        <v>0.127</v>
      </c>
      <c r="G14" s="1" t="s">
        <v>31</v>
      </c>
    </row>
    <row r="15" customFormat="false" ht="13.8" hidden="false" customHeight="false" outlineLevel="0" collapsed="false">
      <c r="A15" s="0" t="s">
        <v>36</v>
      </c>
      <c r="B15" s="9" t="n">
        <v>0.925223450231358</v>
      </c>
      <c r="C15" s="9" t="n">
        <v>2.12338663586421</v>
      </c>
      <c r="D15" s="9" t="n">
        <v>0.0185044690046272</v>
      </c>
      <c r="E15" s="9" t="n">
        <v>356.16933179321</v>
      </c>
      <c r="F15" s="9" t="n">
        <v>0.129952511540131</v>
      </c>
      <c r="G15" s="1" t="s">
        <v>31</v>
      </c>
    </row>
    <row r="16" customFormat="false" ht="13.8" hidden="false" customHeight="false" outlineLevel="0" collapsed="false">
      <c r="A16" s="0" t="s">
        <v>37</v>
      </c>
      <c r="B16" s="9" t="n">
        <v>2.49051383072216</v>
      </c>
      <c r="C16" s="9" t="n">
        <v>2.41282932451152</v>
      </c>
      <c r="D16" s="9" t="n">
        <v>0.0498102766144432</v>
      </c>
      <c r="E16" s="9" t="n">
        <v>370.641466225576</v>
      </c>
      <c r="F16" s="9" t="n">
        <v>0.194666940573286</v>
      </c>
      <c r="G16" s="1" t="s">
        <v>31</v>
      </c>
    </row>
    <row r="17" customFormat="false" ht="13.8" hidden="false" customHeight="false" outlineLevel="0" collapsed="false">
      <c r="A17" s="0" t="s">
        <v>38</v>
      </c>
      <c r="B17" s="9" t="n">
        <v>2.09373085760356</v>
      </c>
      <c r="C17" s="9" t="n">
        <v>2.80358134796504</v>
      </c>
      <c r="D17" s="9" t="n">
        <v>0.0418746171520712</v>
      </c>
      <c r="E17" s="9" t="n">
        <v>390.179067398252</v>
      </c>
      <c r="F17" s="9" t="n">
        <v>0.19288634374895</v>
      </c>
      <c r="G17" s="1" t="s">
        <v>31</v>
      </c>
    </row>
    <row r="18" customFormat="false" ht="13.8" hidden="false" customHeight="false" outlineLevel="0" collapsed="false">
      <c r="A18" s="0" t="s">
        <v>39</v>
      </c>
      <c r="B18" s="9" t="n">
        <v>0.5384771</v>
      </c>
      <c r="C18" s="9" t="n">
        <v>3.985406</v>
      </c>
      <c r="D18" s="9" t="n">
        <v>0.010769542</v>
      </c>
      <c r="E18" s="9" t="n">
        <v>449.2703</v>
      </c>
      <c r="F18" s="9" t="n">
        <v>0.0732108400000001</v>
      </c>
      <c r="G18" s="1" t="s">
        <v>31</v>
      </c>
    </row>
    <row r="19" customFormat="false" ht="13.8" hidden="false" customHeight="false" outlineLevel="0" collapsed="false">
      <c r="A19" s="0" t="s">
        <v>40</v>
      </c>
      <c r="B19" s="10"/>
      <c r="C19" s="9"/>
      <c r="D19" s="9"/>
      <c r="E19" s="9"/>
      <c r="F19" s="9"/>
      <c r="G19" s="1"/>
    </row>
    <row r="20" customFormat="false" ht="13.8" hidden="false" customHeight="false" outlineLevel="0" collapsed="false">
      <c r="A20" s="0" t="s">
        <v>41</v>
      </c>
      <c r="B20" s="1"/>
      <c r="C20" s="1"/>
      <c r="D20" s="1"/>
      <c r="E20" s="1"/>
      <c r="F20" s="1"/>
      <c r="G20" s="1"/>
    </row>
    <row r="21" customFormat="false" ht="13.8" hidden="false" customHeight="false" outlineLevel="0" collapsed="false">
      <c r="A21" s="0" t="s">
        <v>42</v>
      </c>
      <c r="B21" s="1"/>
      <c r="C21" s="6"/>
      <c r="D21" s="6"/>
      <c r="E21" s="6"/>
      <c r="F21" s="6"/>
      <c r="G21" s="7"/>
    </row>
    <row r="22" customFormat="false" ht="13.8" hidden="false" customHeight="false" outlineLevel="0" collapsed="false">
      <c r="A22" s="0" t="s">
        <v>43</v>
      </c>
      <c r="B22" s="1"/>
      <c r="C22" s="1"/>
      <c r="D22" s="1"/>
      <c r="E22" s="1"/>
      <c r="F22" s="1"/>
      <c r="G22" s="1"/>
    </row>
    <row r="23" customFormat="false" ht="13.8" hidden="false" customHeight="false" outlineLevel="0" collapsed="false">
      <c r="A23" s="0" t="s">
        <v>44</v>
      </c>
      <c r="B23" s="1"/>
      <c r="C23" s="1"/>
      <c r="D23" s="1"/>
      <c r="E23" s="1"/>
      <c r="F23" s="1"/>
      <c r="G23" s="1"/>
    </row>
    <row r="24" customFormat="false" ht="13.8" hidden="false" customHeight="false" outlineLevel="0" collapsed="false">
      <c r="A24" s="0" t="s">
        <v>45</v>
      </c>
      <c r="B24" s="1"/>
      <c r="C24" s="1"/>
      <c r="D24" s="1"/>
      <c r="E24" s="1"/>
      <c r="F24" s="1"/>
      <c r="G24" s="1"/>
    </row>
    <row r="25" customFormat="false" ht="13.8" hidden="false" customHeight="false" outlineLevel="0" collapsed="false">
      <c r="A25" s="0" t="s">
        <v>46</v>
      </c>
      <c r="B25" s="1"/>
      <c r="C25" s="1"/>
      <c r="D25" s="1"/>
      <c r="E25" s="1"/>
      <c r="F25" s="1"/>
      <c r="G25" s="1"/>
    </row>
    <row r="26" customFormat="false" ht="13.8" hidden="false" customHeight="false" outlineLevel="0" collapsed="false">
      <c r="A26" s="0" t="s">
        <v>47</v>
      </c>
      <c r="B26" s="1"/>
      <c r="C26" s="1"/>
      <c r="D26" s="1"/>
      <c r="E26" s="1"/>
      <c r="F26" s="1"/>
      <c r="G26" s="1"/>
    </row>
    <row r="27" customFormat="false" ht="13.8" hidden="false" customHeight="false" outlineLevel="0" collapsed="false">
      <c r="A27" s="0" t="s">
        <v>48</v>
      </c>
      <c r="B27" s="1"/>
      <c r="C27" s="1"/>
      <c r="D27" s="1"/>
      <c r="E27" s="1"/>
      <c r="F27" s="1"/>
      <c r="G2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2026-08-26T13:54:58Z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